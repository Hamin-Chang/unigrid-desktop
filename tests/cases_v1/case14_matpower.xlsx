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ACDC/Phase A_Balance/newest/v13/"/>
    </mc:Choice>
  </mc:AlternateContent>
  <xr:revisionPtr revIDLastSave="0" documentId="13_ncr:1_{49C2AB31-0A46-5E46-A6FF-E17021C6C9A1}" xr6:coauthVersionLast="47" xr6:coauthVersionMax="47" xr10:uidLastSave="{00000000-0000-0000-0000-000000000000}"/>
  <bookViews>
    <workbookView xWindow="-38400" yWindow="600" windowWidth="38400" windowHeight="21000" activeTab="1" xr2:uid="{00000000-000D-0000-FFFF-FFFF00000000}"/>
  </bookViews>
  <sheets>
    <sheet name="Mode" sheetId="1" r:id="rId1"/>
    <sheet name="AC Bus Data" sheetId="2" r:id="rId2"/>
    <sheet name="AC 3w Transformer Data" sheetId="9" r:id="rId3"/>
    <sheet name="AC Gen Data" sheetId="4" r:id="rId4"/>
    <sheet name="AC Line Data" sheetId="5" r:id="rId5"/>
    <sheet name="AC P Consume Data" sheetId="6" r:id="rId6"/>
    <sheet name="AC Q Consume Data" sheetId="7" r:id="rId7"/>
    <sheet name="Sbase,frequenc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</calcChain>
</file>

<file path=xl/sharedStrings.xml><?xml version="1.0" encoding="utf-8"?>
<sst xmlns="http://schemas.openxmlformats.org/spreadsheetml/2006/main" count="81" uniqueCount="80">
  <si>
    <t>Mode ( 0 : AC / DC Hybrid, 1 : AC only, 2 : DC only )</t>
  </si>
  <si>
    <t>Bus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</si>
  <si>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</si>
  <si>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</si>
  <si>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</si>
  <si>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</si>
  <si>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</si>
  <si>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</si>
  <si>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</si>
  <si>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</si>
  <si>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</si>
  <si>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</si>
  <si>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</si>
  <si>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</si>
  <si>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</si>
  <si>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</t>
  </si>
  <si>
    <t>Bus_No</t>
  </si>
  <si>
    <t>AC Gen Type (No Gen : 0 / AC Trans : 1 / Syn Gen : 2 / IBR : 3)</t>
  </si>
  <si>
    <t>AC Gen Mode (PQ Mode : 0 / Droop Mode : 1 / PV Mode : 2 / Slack : 3)</t>
  </si>
  <si>
    <t>Droop (P) [%]</t>
  </si>
  <si>
    <t>Droop (Q) [%]</t>
  </si>
  <si>
    <t>P_gen [W]</t>
  </si>
  <si>
    <t>Q_gen [Var]</t>
  </si>
  <si>
    <t>Vg [pu] (If Gen in PV mode or Droop mode)</t>
  </si>
  <si>
    <t>Status</t>
  </si>
  <si>
    <t>Line #</t>
  </si>
  <si>
    <t>From</t>
  </si>
  <si>
    <t>To</t>
  </si>
  <si>
    <t>R [Ω]</t>
  </si>
  <si>
    <t>X [Ω]</t>
  </si>
  <si>
    <t>B [S]</t>
  </si>
  <si>
    <t>Tap ratio</t>
  </si>
  <si>
    <t>angle(°)</t>
  </si>
  <si>
    <t>rateA [MVA]</t>
  </si>
  <si>
    <t>rateB [MVA]</t>
  </si>
  <si>
    <t>rateC [MVA]</t>
  </si>
  <si>
    <t>connection status (0/1)</t>
  </si>
  <si>
    <t>Bus / 시각</t>
  </si>
  <si>
    <t>freq_base [Hz]</t>
    <phoneticPr fontId="6" type="noConversion"/>
  </si>
  <si>
    <t>f_0 [pu]</t>
    <phoneticPr fontId="6" type="noConversion"/>
  </si>
  <si>
    <t>freq_max[%]</t>
    <phoneticPr fontId="6" type="noConversion"/>
  </si>
  <si>
    <t>freq_min [%]</t>
    <phoneticPr fontId="6" type="noConversion"/>
  </si>
  <si>
    <t>Frequency Control Mode
( 0 : Variable / 1 : Constant )</t>
    <phoneticPr fontId="6" type="noConversion"/>
  </si>
  <si>
    <t>freq_deadband(±) [Hz]</t>
    <phoneticPr fontId="6" type="noConversion"/>
  </si>
  <si>
    <t>|V| deadband (±) [pu]</t>
    <phoneticPr fontId="6" type="noConversion"/>
  </si>
  <si>
    <t>S_base [MVA]</t>
    <phoneticPr fontId="6" type="noConversion"/>
  </si>
  <si>
    <t>Local Sbase
[MVA]</t>
    <phoneticPr fontId="6" type="noConversion"/>
  </si>
  <si>
    <t>Gs</t>
    <phoneticPr fontId="5" type="noConversion"/>
  </si>
  <si>
    <t>Bs</t>
    <phoneticPr fontId="5" type="noConversion"/>
  </si>
  <si>
    <t>3w trans #</t>
    <phoneticPr fontId="6" type="noConversion"/>
  </si>
  <si>
    <t>Bus 1</t>
    <phoneticPr fontId="6" type="noConversion"/>
  </si>
  <si>
    <t>Bus 2</t>
    <phoneticPr fontId="6" type="noConversion"/>
  </si>
  <si>
    <t>Bus 3</t>
    <phoneticPr fontId="6" type="noConversion"/>
  </si>
  <si>
    <t>status (0/1)</t>
    <phoneticPr fontId="6" type="noConversion"/>
  </si>
  <si>
    <t>Vn1 [kV]</t>
    <phoneticPr fontId="6" type="noConversion"/>
  </si>
  <si>
    <t>Vn2 [kV]</t>
    <phoneticPr fontId="6" type="noConversion"/>
  </si>
  <si>
    <t>Vn3 [kV]</t>
    <phoneticPr fontId="6" type="noConversion"/>
  </si>
  <si>
    <t>Sn1 [MVA]</t>
    <phoneticPr fontId="6" type="noConversion"/>
  </si>
  <si>
    <t>Sn2 [MVA]</t>
    <phoneticPr fontId="6" type="noConversion"/>
  </si>
  <si>
    <t>Sn3 [MVA]</t>
    <phoneticPr fontId="6" type="noConversion"/>
  </si>
  <si>
    <t>r12</t>
    <phoneticPr fontId="6" type="noConversion"/>
  </si>
  <si>
    <t>r23</t>
    <phoneticPr fontId="6" type="noConversion"/>
  </si>
  <si>
    <t>r31</t>
    <phoneticPr fontId="6" type="noConversion"/>
  </si>
  <si>
    <t>x12</t>
    <phoneticPr fontId="6" type="noConversion"/>
  </si>
  <si>
    <t>x23</t>
    <phoneticPr fontId="6" type="noConversion"/>
  </si>
  <si>
    <t>x31</t>
    <phoneticPr fontId="6" type="noConversion"/>
  </si>
  <si>
    <t>vk12 [%]</t>
    <phoneticPr fontId="6" type="noConversion"/>
  </si>
  <si>
    <t>vk23 [%]</t>
    <phoneticPr fontId="6" type="noConversion"/>
  </si>
  <si>
    <t>vk31 [%]</t>
    <phoneticPr fontId="6" type="noConversion"/>
  </si>
  <si>
    <t>vkr12 [%]</t>
    <phoneticPr fontId="6" type="noConversion"/>
  </si>
  <si>
    <t>vkr23 [%]</t>
    <phoneticPr fontId="6" type="noConversion"/>
  </si>
  <si>
    <t>vkr31 [%]</t>
    <phoneticPr fontId="6" type="noConversion"/>
  </si>
  <si>
    <t>tap side</t>
    <phoneticPr fontId="6" type="noConversion"/>
  </si>
  <si>
    <t>tap ratio</t>
    <phoneticPr fontId="6" type="noConversion"/>
  </si>
  <si>
    <t>shift_deg MV [degree]</t>
    <phoneticPr fontId="6" type="noConversion"/>
  </si>
  <si>
    <t>shift_deg LV [degree]</t>
    <phoneticPr fontId="6" type="noConversion"/>
  </si>
  <si>
    <t>pfe [kW]</t>
    <phoneticPr fontId="6" type="noConversion"/>
  </si>
  <si>
    <t>i0 [%]</t>
    <phoneticPr fontId="6" type="noConversion"/>
  </si>
  <si>
    <t>winding map</t>
    <phoneticPr fontId="6" type="noConversion"/>
  </si>
  <si>
    <t>AC Transformer
status (0/1)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</si>
</sst>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나눔명조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1">
      <alignment vertical="center"/>
    </xf>
    <xf numFmtId="0" fontId="1" fillId="0" borderId="1">
      <alignment vertical="center"/>
    </xf>
  </cellStyleXfs>
  <cellXfs count="15">
    <xf numFmtId="0" fontId="0" fillId="0" borderId="0" xfId="0"/>
    <xf numFmtId="0" fontId="4" fillId="2" borderId="2" xfId="1" applyFill="1" applyBorder="1" applyAlignment="1">
      <alignment horizontal="center" vertical="center"/>
    </xf>
    <xf numFmtId="0" fontId="4" fillId="2" borderId="2" xfId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4" fillId="0" borderId="1" xfId="1">
      <alignment vertical="center"/>
    </xf>
    <xf numFmtId="0" fontId="4" fillId="0" borderId="2" xfId="1" applyBorder="1" applyAlignment="1">
      <alignment horizontal="center" vertical="center"/>
    </xf>
    <xf numFmtId="11" fontId="4" fillId="0" borderId="2" xfId="1" applyNumberFormat="1" applyBorder="1" applyAlignment="1">
      <alignment horizontal="center" vertical="center"/>
    </xf>
    <xf numFmtId="0" fontId="4" fillId="0" borderId="1" xfId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7" fillId="0" borderId="0" xfId="0" applyFont="1"/>
    <xf numFmtId="0" fontId="1" fillId="2" borderId="2" xfId="2" applyFill="1" applyBorder="1" applyAlignment="1">
      <alignment horizontal="center" vertical="center"/>
    </xf>
    <xf numFmtId="0" fontId="1" fillId="0" borderId="1" xfId="2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표준" xfId="0" builtinId="0"/>
    <cellStyle name="표준 2" xfId="1" xr:uid="{A0288124-8FD8-E64A-ACBF-2E92563AD475}"/>
    <cellStyle name="표준 3" xfId="2" xr:uid="{1568A896-1E7A-4244-A4B6-B7384437A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45" sqref="A45"/>
    </sheetView>
  </sheetViews>
  <sheetFormatPr baseColWidth="10" defaultColWidth="8.83203125" defaultRowHeight="15"/>
  <cols>
    <col min="1" max="1" width="44.5" customWidth="1"/>
  </cols>
  <sheetData>
    <row r="1" spans="1:1">
      <c r="A1" t="s">
        <v>0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tabSelected="1" workbookViewId="0">
      <selection activeCell="C10" sqref="C10"/>
    </sheetView>
  </sheetViews>
  <sheetFormatPr baseColWidth="10" defaultColWidth="8.83203125" defaultRowHeight="15"/>
  <cols>
    <col min="1" max="4" width="4.33203125" customWidth="1"/>
    <col min="5" max="5" width="3.83203125" customWidth="1"/>
    <col min="6" max="6" width="4.5" customWidth="1"/>
    <col min="7" max="7" width="4.33203125" customWidth="1"/>
    <col min="8" max="8" width="3.83203125" customWidth="1"/>
    <col min="9" max="9" width="4.5" customWidth="1"/>
    <col min="10" max="11" width="5.83203125" customWidth="1"/>
    <col min="12" max="12" width="7.5" customWidth="1"/>
    <col min="13" max="13" width="6" customWidth="1"/>
    <col min="14" max="14" width="10.6640625" customWidth="1"/>
    <col min="15" max="15" width="11" customWidth="1"/>
    <col min="16" max="16" width="11.33203125" customWidth="1"/>
    <col min="17" max="17" width="5.33203125" customWidth="1"/>
  </cols>
  <sheetData>
    <row r="1" spans="1:17">
      <c r="A1" t="s">
        <v>1</v>
      </c>
      <c r="B1" s="10" t="s">
        <v>47</v>
      </c>
      <c r="C1" s="10" t="s">
        <v>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345000</v>
      </c>
      <c r="O2">
        <v>0.94</v>
      </c>
      <c r="P2">
        <v>1.06</v>
      </c>
      <c r="Q2">
        <v>1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345000</v>
      </c>
      <c r="O3">
        <v>0.94</v>
      </c>
      <c r="P3">
        <v>1.06</v>
      </c>
      <c r="Q3">
        <v>1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345000</v>
      </c>
      <c r="O4">
        <v>0.94</v>
      </c>
      <c r="P4">
        <v>1.06</v>
      </c>
      <c r="Q4">
        <v>1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345000</v>
      </c>
      <c r="O5">
        <v>0.94</v>
      </c>
      <c r="P5">
        <v>1.06</v>
      </c>
      <c r="Q5">
        <v>1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345000</v>
      </c>
      <c r="O6">
        <v>0.94</v>
      </c>
      <c r="P6">
        <v>1.06</v>
      </c>
      <c r="Q6">
        <v>1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345000</v>
      </c>
      <c r="O7">
        <v>0.94</v>
      </c>
      <c r="P7">
        <v>1.06</v>
      </c>
      <c r="Q7">
        <v>1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345000</v>
      </c>
      <c r="O8">
        <v>0.94</v>
      </c>
      <c r="P8">
        <v>1.06</v>
      </c>
      <c r="Q8">
        <v>1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345000</v>
      </c>
      <c r="O9">
        <v>0.94</v>
      </c>
      <c r="P9">
        <v>1.06</v>
      </c>
      <c r="Q9">
        <v>1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345000</v>
      </c>
      <c r="O10">
        <v>0.94</v>
      </c>
      <c r="P10">
        <v>1.06</v>
      </c>
      <c r="Q10">
        <v>1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345000</v>
      </c>
      <c r="O11">
        <v>0.94</v>
      </c>
      <c r="P11">
        <v>1.06</v>
      </c>
      <c r="Q11">
        <v>1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345000</v>
      </c>
      <c r="O12">
        <v>0.94</v>
      </c>
      <c r="P12">
        <v>1.06</v>
      </c>
      <c r="Q12">
        <v>1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345000</v>
      </c>
      <c r="O13">
        <v>0.94</v>
      </c>
      <c r="P13">
        <v>1.06</v>
      </c>
      <c r="Q13">
        <v>1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345000</v>
      </c>
      <c r="O14">
        <v>0.94</v>
      </c>
      <c r="P14">
        <v>1.06</v>
      </c>
      <c r="Q14">
        <v>1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345000</v>
      </c>
      <c r="O15">
        <v>0.94</v>
      </c>
      <c r="P15">
        <v>1.06</v>
      </c>
      <c r="Q15">
        <v>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D0BB-AAFA-2343-A0E1-9176AD5EC61E}">
  <dimension ref="A1:AD1"/>
  <sheetViews>
    <sheetView topLeftCell="I1" zoomScale="120" zoomScaleNormal="120" workbookViewId="0">
      <selection activeCell="L7" sqref="L7"/>
    </sheetView>
  </sheetViews>
  <sheetFormatPr baseColWidth="10" defaultRowHeight="18"/>
  <cols>
    <col min="1" max="25" width="10.83203125" style="12"/>
    <col min="26" max="27" width="22.5" style="12" bestFit="1" customWidth="1"/>
    <col min="28" max="29" width="10.83203125" style="12"/>
    <col min="30" max="30" width="21.1640625" style="12" bestFit="1" customWidth="1"/>
    <col min="31" max="16384" width="10.83203125" style="12"/>
  </cols>
  <sheetData>
    <row r="1" spans="1:30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  <c r="R1" s="11" t="s">
        <v>66</v>
      </c>
      <c r="S1" s="11" t="s">
        <v>67</v>
      </c>
      <c r="T1" s="11" t="s">
        <v>68</v>
      </c>
      <c r="U1" s="11" t="s">
        <v>69</v>
      </c>
      <c r="V1" s="11" t="s">
        <v>70</v>
      </c>
      <c r="W1" s="11" t="s">
        <v>71</v>
      </c>
      <c r="X1" s="11" t="s">
        <v>72</v>
      </c>
      <c r="Y1" s="11" t="s">
        <v>73</v>
      </c>
      <c r="Z1" s="11" t="s">
        <v>74</v>
      </c>
      <c r="AA1" s="11" t="s">
        <v>75</v>
      </c>
      <c r="AB1" s="11" t="s">
        <v>76</v>
      </c>
      <c r="AC1" s="11" t="s">
        <v>77</v>
      </c>
      <c r="AD1" s="11" t="s">
        <v>78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B33" sqref="B33"/>
    </sheetView>
  </sheetViews>
  <sheetFormatPr baseColWidth="10" defaultColWidth="8.83203125" defaultRowHeight="15"/>
  <cols>
    <col min="1" max="1" width="7.83203125" customWidth="1"/>
    <col min="2" max="2" width="53.1640625" customWidth="1"/>
    <col min="3" max="3" width="61.5" customWidth="1"/>
    <col min="4" max="4" width="13" customWidth="1"/>
    <col min="5" max="5" width="13.33203125" customWidth="1"/>
    <col min="6" max="6" width="10.33203125" customWidth="1"/>
    <col min="7" max="7" width="11.6640625" customWidth="1"/>
    <col min="8" max="8" width="39" customWidth="1"/>
    <col min="9" max="9" width="6.5" customWidth="1"/>
    <col min="10" max="10" width="11.1640625" customWidth="1"/>
  </cols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46</v>
      </c>
    </row>
    <row r="2" spans="1:10">
      <c r="A2">
        <v>1</v>
      </c>
      <c r="B2">
        <v>0</v>
      </c>
      <c r="C2">
        <v>3</v>
      </c>
      <c r="D2">
        <v>0</v>
      </c>
      <c r="E2">
        <v>0</v>
      </c>
      <c r="F2">
        <v>232400000</v>
      </c>
      <c r="G2">
        <v>-16900000</v>
      </c>
      <c r="H2">
        <v>1.06</v>
      </c>
      <c r="I2">
        <v>1</v>
      </c>
      <c r="J2">
        <v>100000000</v>
      </c>
    </row>
    <row r="3" spans="1:10">
      <c r="A3">
        <v>2</v>
      </c>
      <c r="B3">
        <v>0</v>
      </c>
      <c r="C3">
        <v>2</v>
      </c>
      <c r="D3">
        <v>0</v>
      </c>
      <c r="E3">
        <v>0</v>
      </c>
      <c r="F3">
        <v>40000000</v>
      </c>
      <c r="G3">
        <v>42400000</v>
      </c>
      <c r="H3">
        <v>1.0449999999999999</v>
      </c>
      <c r="I3">
        <v>1</v>
      </c>
      <c r="J3">
        <v>100000000</v>
      </c>
    </row>
    <row r="4" spans="1:10">
      <c r="A4">
        <v>3</v>
      </c>
      <c r="B4">
        <v>0</v>
      </c>
      <c r="C4">
        <v>2</v>
      </c>
      <c r="D4">
        <v>0</v>
      </c>
      <c r="E4">
        <v>0</v>
      </c>
      <c r="F4">
        <v>0</v>
      </c>
      <c r="G4">
        <v>23400000</v>
      </c>
      <c r="H4">
        <v>1.01</v>
      </c>
      <c r="I4">
        <v>1</v>
      </c>
      <c r="J4">
        <v>100000000</v>
      </c>
    </row>
    <row r="5" spans="1:10">
      <c r="A5">
        <v>6</v>
      </c>
      <c r="B5">
        <v>0</v>
      </c>
      <c r="C5">
        <v>2</v>
      </c>
      <c r="D5">
        <v>0</v>
      </c>
      <c r="E5">
        <v>0</v>
      </c>
      <c r="F5">
        <v>0</v>
      </c>
      <c r="G5">
        <v>12200000</v>
      </c>
      <c r="H5">
        <v>1.07</v>
      </c>
      <c r="I5">
        <v>1</v>
      </c>
      <c r="J5">
        <v>100000000</v>
      </c>
    </row>
    <row r="6" spans="1:10">
      <c r="A6">
        <v>8</v>
      </c>
      <c r="B6">
        <v>0</v>
      </c>
      <c r="C6">
        <v>2</v>
      </c>
      <c r="D6">
        <v>0</v>
      </c>
      <c r="E6">
        <v>0</v>
      </c>
      <c r="F6">
        <v>0</v>
      </c>
      <c r="G6">
        <v>17400000</v>
      </c>
      <c r="H6">
        <v>1.0900000000000001</v>
      </c>
      <c r="I6">
        <v>1</v>
      </c>
      <c r="J6">
        <v>100000000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selection activeCell="J27" sqref="J27"/>
    </sheetView>
  </sheetViews>
  <sheetFormatPr baseColWidth="10" defaultColWidth="8.83203125" defaultRowHeight="15"/>
  <cols>
    <col min="1" max="1" width="6.33203125" customWidth="1"/>
    <col min="2" max="2" width="5.6640625" customWidth="1"/>
    <col min="3" max="3" width="3.33203125" customWidth="1"/>
    <col min="4" max="5" width="11.6640625" customWidth="1"/>
    <col min="6" max="6" width="15.5" customWidth="1"/>
    <col min="7" max="7" width="8.83203125" customWidth="1"/>
    <col min="8" max="8" width="8.1640625" customWidth="1"/>
    <col min="9" max="9" width="12.1640625" customWidth="1"/>
    <col min="10" max="11" width="12" customWidth="1"/>
    <col min="12" max="12" width="15.83203125" style="14" customWidth="1"/>
    <col min="13" max="13" width="21.5" customWidth="1"/>
  </cols>
  <sheetData>
    <row r="1" spans="1:13" ht="3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s="13" t="s">
        <v>79</v>
      </c>
      <c r="M1" t="s">
        <v>36</v>
      </c>
    </row>
    <row r="2" spans="1:13">
      <c r="A2">
        <v>1</v>
      </c>
      <c r="B2">
        <v>1</v>
      </c>
      <c r="C2">
        <v>2</v>
      </c>
      <c r="D2">
        <v>23.067045</v>
      </c>
      <c r="E2">
        <v>70.427092500000001</v>
      </c>
      <c r="F2">
        <v>4.4360428481411467E-5</v>
      </c>
      <c r="G2">
        <v>0</v>
      </c>
      <c r="H2">
        <v>0</v>
      </c>
      <c r="I2">
        <v>0</v>
      </c>
      <c r="J2">
        <v>0</v>
      </c>
      <c r="K2">
        <v>0</v>
      </c>
      <c r="L2" s="14">
        <v>0</v>
      </c>
      <c r="M2">
        <v>1</v>
      </c>
    </row>
    <row r="3" spans="1:13">
      <c r="A3">
        <v>2</v>
      </c>
      <c r="B3">
        <v>1</v>
      </c>
      <c r="C3">
        <v>5</v>
      </c>
      <c r="D3">
        <v>64.309207499999999</v>
      </c>
      <c r="E3">
        <v>265.47336000000001</v>
      </c>
      <c r="F3">
        <v>4.1335853812224321E-5</v>
      </c>
      <c r="G3">
        <v>0</v>
      </c>
      <c r="H3">
        <v>0</v>
      </c>
      <c r="I3">
        <v>0</v>
      </c>
      <c r="J3">
        <v>0</v>
      </c>
      <c r="K3">
        <v>0</v>
      </c>
      <c r="L3" s="14">
        <v>0</v>
      </c>
      <c r="M3">
        <v>1</v>
      </c>
    </row>
    <row r="4" spans="1:13">
      <c r="A4">
        <v>3</v>
      </c>
      <c r="B4">
        <v>2</v>
      </c>
      <c r="C4">
        <v>3</v>
      </c>
      <c r="D4">
        <v>55.929847499999994</v>
      </c>
      <c r="E4">
        <v>235.6337925</v>
      </c>
      <c r="F4">
        <v>3.6798991808443603E-5</v>
      </c>
      <c r="G4">
        <v>0</v>
      </c>
      <c r="H4">
        <v>0</v>
      </c>
      <c r="I4">
        <v>0</v>
      </c>
      <c r="J4">
        <v>0</v>
      </c>
      <c r="K4">
        <v>0</v>
      </c>
      <c r="L4" s="14">
        <v>0</v>
      </c>
      <c r="M4">
        <v>1</v>
      </c>
    </row>
    <row r="5" spans="1:13">
      <c r="A5">
        <v>4</v>
      </c>
      <c r="B5">
        <v>2</v>
      </c>
      <c r="C5">
        <v>4</v>
      </c>
      <c r="D5">
        <v>69.165427500000007</v>
      </c>
      <c r="E5">
        <v>209.86488</v>
      </c>
      <c r="F5">
        <v>2.8565427431211934E-5</v>
      </c>
      <c r="G5">
        <v>0</v>
      </c>
      <c r="H5">
        <v>0</v>
      </c>
      <c r="I5">
        <v>0</v>
      </c>
      <c r="J5">
        <v>0</v>
      </c>
      <c r="K5">
        <v>0</v>
      </c>
      <c r="L5" s="14">
        <v>0</v>
      </c>
      <c r="M5">
        <v>1</v>
      </c>
    </row>
    <row r="6" spans="1:13">
      <c r="A6">
        <v>5</v>
      </c>
      <c r="B6">
        <v>2</v>
      </c>
      <c r="C6">
        <v>5</v>
      </c>
      <c r="D6">
        <v>67.784737500000006</v>
      </c>
      <c r="E6">
        <v>206.96067000000002</v>
      </c>
      <c r="F6">
        <v>2.9069523209409787E-5</v>
      </c>
      <c r="G6">
        <v>0</v>
      </c>
      <c r="H6">
        <v>0</v>
      </c>
      <c r="I6">
        <v>0</v>
      </c>
      <c r="J6">
        <v>0</v>
      </c>
      <c r="K6">
        <v>0</v>
      </c>
      <c r="L6" s="14">
        <v>0</v>
      </c>
      <c r="M6">
        <v>1</v>
      </c>
    </row>
    <row r="7" spans="1:13">
      <c r="A7">
        <v>6</v>
      </c>
      <c r="B7">
        <v>3</v>
      </c>
      <c r="C7">
        <v>4</v>
      </c>
      <c r="D7">
        <v>79.758652499999997</v>
      </c>
      <c r="E7">
        <v>203.56845749999999</v>
      </c>
      <c r="F7">
        <v>1.0754043268220962E-5</v>
      </c>
      <c r="G7">
        <v>0</v>
      </c>
      <c r="H7">
        <v>0</v>
      </c>
      <c r="I7">
        <v>0</v>
      </c>
      <c r="J7">
        <v>0</v>
      </c>
      <c r="K7">
        <v>0</v>
      </c>
      <c r="L7" s="14">
        <v>0</v>
      </c>
      <c r="M7">
        <v>1</v>
      </c>
    </row>
    <row r="8" spans="1:13">
      <c r="A8">
        <v>7</v>
      </c>
      <c r="B8">
        <v>4</v>
      </c>
      <c r="C8">
        <v>5</v>
      </c>
      <c r="D8">
        <v>15.889837500000001</v>
      </c>
      <c r="E8">
        <v>50.121427500000003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4">
        <v>0</v>
      </c>
      <c r="M8">
        <v>1</v>
      </c>
    </row>
    <row r="9" spans="1:13">
      <c r="A9">
        <v>8</v>
      </c>
      <c r="B9">
        <v>4</v>
      </c>
      <c r="C9">
        <v>7</v>
      </c>
      <c r="D9">
        <v>0</v>
      </c>
      <c r="E9">
        <v>248.90508</v>
      </c>
      <c r="F9">
        <v>0</v>
      </c>
      <c r="G9">
        <v>0.9</v>
      </c>
      <c r="H9">
        <v>10</v>
      </c>
      <c r="I9">
        <v>0</v>
      </c>
      <c r="J9">
        <v>0</v>
      </c>
      <c r="K9">
        <v>0</v>
      </c>
      <c r="L9" s="14">
        <v>1</v>
      </c>
      <c r="M9">
        <v>1</v>
      </c>
    </row>
    <row r="10" spans="1:13">
      <c r="A10">
        <v>9</v>
      </c>
      <c r="B10">
        <v>4</v>
      </c>
      <c r="C10">
        <v>9</v>
      </c>
      <c r="D10">
        <v>0</v>
      </c>
      <c r="E10">
        <v>661.993245</v>
      </c>
      <c r="F10">
        <v>0</v>
      </c>
      <c r="G10">
        <v>1.02</v>
      </c>
      <c r="H10">
        <v>10</v>
      </c>
      <c r="I10">
        <v>0</v>
      </c>
      <c r="J10">
        <v>0</v>
      </c>
      <c r="K10">
        <v>0</v>
      </c>
      <c r="L10" s="14">
        <v>1</v>
      </c>
      <c r="M10">
        <v>1</v>
      </c>
    </row>
    <row r="11" spans="1:13">
      <c r="A11">
        <v>10</v>
      </c>
      <c r="B11">
        <v>5</v>
      </c>
      <c r="C11">
        <v>6</v>
      </c>
      <c r="D11">
        <v>0</v>
      </c>
      <c r="E11">
        <v>299.96680500000002</v>
      </c>
      <c r="F11">
        <v>0</v>
      </c>
      <c r="G11">
        <v>1.05</v>
      </c>
      <c r="H11">
        <v>10</v>
      </c>
      <c r="I11">
        <v>0</v>
      </c>
      <c r="J11">
        <v>0</v>
      </c>
      <c r="K11">
        <v>0</v>
      </c>
      <c r="L11" s="14">
        <v>1</v>
      </c>
      <c r="M11">
        <v>1</v>
      </c>
    </row>
    <row r="12" spans="1:13">
      <c r="A12">
        <v>11</v>
      </c>
      <c r="B12">
        <v>6</v>
      </c>
      <c r="C12">
        <v>11</v>
      </c>
      <c r="D12">
        <v>113.04994499999999</v>
      </c>
      <c r="E12">
        <v>236.740725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4">
        <v>0</v>
      </c>
      <c r="M12">
        <v>1</v>
      </c>
    </row>
    <row r="13" spans="1:13">
      <c r="A13">
        <v>12</v>
      </c>
      <c r="B13">
        <v>6</v>
      </c>
      <c r="C13">
        <v>12</v>
      </c>
      <c r="D13">
        <v>146.29362750000001</v>
      </c>
      <c r="E13">
        <v>304.47785249999998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4">
        <v>0</v>
      </c>
      <c r="M13">
        <v>1</v>
      </c>
    </row>
    <row r="14" spans="1:13">
      <c r="A14">
        <v>13</v>
      </c>
      <c r="B14">
        <v>6</v>
      </c>
      <c r="C14">
        <v>13</v>
      </c>
      <c r="D14">
        <v>78.735037500000004</v>
      </c>
      <c r="E14">
        <v>155.0538675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4">
        <v>0</v>
      </c>
      <c r="M14">
        <v>1</v>
      </c>
    </row>
    <row r="15" spans="1:13">
      <c r="A15">
        <v>14</v>
      </c>
      <c r="B15">
        <v>7</v>
      </c>
      <c r="C15">
        <v>8</v>
      </c>
      <c r="D15">
        <v>0</v>
      </c>
      <c r="E15">
        <v>209.66253750000001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4">
        <v>0</v>
      </c>
      <c r="M15">
        <v>1</v>
      </c>
    </row>
    <row r="16" spans="1:13">
      <c r="A16">
        <v>15</v>
      </c>
      <c r="B16">
        <v>7</v>
      </c>
      <c r="C16">
        <v>9</v>
      </c>
      <c r="D16">
        <v>0</v>
      </c>
      <c r="E16">
        <v>130.9394025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4">
        <v>0</v>
      </c>
      <c r="M16">
        <v>1</v>
      </c>
    </row>
    <row r="17" spans="1:13">
      <c r="A17">
        <v>16</v>
      </c>
      <c r="B17">
        <v>9</v>
      </c>
      <c r="C17">
        <v>10</v>
      </c>
      <c r="D17">
        <v>37.861852499999998</v>
      </c>
      <c r="E17">
        <v>100.576125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4">
        <v>0</v>
      </c>
      <c r="M17">
        <v>1</v>
      </c>
    </row>
    <row r="18" spans="1:13">
      <c r="A18">
        <v>17</v>
      </c>
      <c r="B18">
        <v>9</v>
      </c>
      <c r="C18">
        <v>14</v>
      </c>
      <c r="D18">
        <v>151.2926775</v>
      </c>
      <c r="E18">
        <v>321.819795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4">
        <v>0</v>
      </c>
      <c r="M18">
        <v>1</v>
      </c>
    </row>
    <row r="19" spans="1:13">
      <c r="A19">
        <v>18</v>
      </c>
      <c r="B19">
        <v>10</v>
      </c>
      <c r="C19">
        <v>11</v>
      </c>
      <c r="D19">
        <v>97.660012499999993</v>
      </c>
      <c r="E19">
        <v>228.61131749999998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4">
        <v>0</v>
      </c>
      <c r="M19">
        <v>1</v>
      </c>
    </row>
    <row r="20" spans="1:13">
      <c r="A20">
        <v>19</v>
      </c>
      <c r="B20">
        <v>12</v>
      </c>
      <c r="C20">
        <v>13</v>
      </c>
      <c r="D20">
        <v>262.95003000000003</v>
      </c>
      <c r="E20">
        <v>237.90717000000001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4">
        <v>0</v>
      </c>
      <c r="M20">
        <v>1</v>
      </c>
    </row>
    <row r="21" spans="1:13">
      <c r="A21">
        <v>20</v>
      </c>
      <c r="B21">
        <v>13</v>
      </c>
      <c r="C21">
        <v>14</v>
      </c>
      <c r="D21">
        <v>203.4494325</v>
      </c>
      <c r="E21">
        <v>414.23080499999998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4">
        <v>0</v>
      </c>
      <c r="M21"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baseColWidth="10" defaultColWidth="8.83203125" defaultRowHeight="15"/>
  <cols>
    <col min="1" max="1" width="9.6640625" customWidth="1"/>
    <col min="2" max="2" width="9.1640625" customWidth="1"/>
  </cols>
  <sheetData>
    <row r="1" spans="1:2">
      <c r="A1" t="s">
        <v>37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21700000</v>
      </c>
    </row>
    <row r="4" spans="1:2">
      <c r="A4">
        <v>3</v>
      </c>
      <c r="B4">
        <v>94200000</v>
      </c>
    </row>
    <row r="5" spans="1:2">
      <c r="A5">
        <v>4</v>
      </c>
      <c r="B5">
        <v>47800000</v>
      </c>
    </row>
    <row r="6" spans="1:2">
      <c r="A6">
        <v>5</v>
      </c>
      <c r="B6">
        <v>7600000</v>
      </c>
    </row>
    <row r="7" spans="1:2">
      <c r="A7">
        <v>6</v>
      </c>
      <c r="B7">
        <v>11200000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29500000</v>
      </c>
    </row>
    <row r="11" spans="1:2">
      <c r="A11">
        <v>10</v>
      </c>
      <c r="B11">
        <v>9000000</v>
      </c>
    </row>
    <row r="12" spans="1:2">
      <c r="A12">
        <v>11</v>
      </c>
      <c r="B12">
        <v>3500000</v>
      </c>
    </row>
    <row r="13" spans="1:2">
      <c r="A13">
        <v>12</v>
      </c>
      <c r="B13">
        <v>6100000</v>
      </c>
    </row>
    <row r="14" spans="1:2">
      <c r="A14">
        <v>13</v>
      </c>
      <c r="B14">
        <v>13500000</v>
      </c>
    </row>
    <row r="15" spans="1:2">
      <c r="A15">
        <v>14</v>
      </c>
      <c r="B15">
        <v>14900000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baseColWidth="10" defaultColWidth="8.83203125" defaultRowHeight="15"/>
  <cols>
    <col min="1" max="1" width="9.6640625" customWidth="1"/>
    <col min="2" max="2" width="9.1640625" customWidth="1"/>
  </cols>
  <sheetData>
    <row r="1" spans="1:2">
      <c r="A1" t="s">
        <v>37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12700000</v>
      </c>
    </row>
    <row r="4" spans="1:2">
      <c r="A4">
        <v>3</v>
      </c>
      <c r="B4">
        <v>19000000</v>
      </c>
    </row>
    <row r="5" spans="1:2">
      <c r="A5">
        <v>4</v>
      </c>
      <c r="B5">
        <v>-3900000</v>
      </c>
    </row>
    <row r="6" spans="1:2">
      <c r="A6">
        <v>5</v>
      </c>
      <c r="B6">
        <v>1600000</v>
      </c>
    </row>
    <row r="7" spans="1:2">
      <c r="A7">
        <v>6</v>
      </c>
      <c r="B7">
        <v>7500000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16600000.000000002</v>
      </c>
    </row>
    <row r="11" spans="1:2">
      <c r="A11">
        <v>10</v>
      </c>
      <c r="B11">
        <v>5800000</v>
      </c>
    </row>
    <row r="12" spans="1:2">
      <c r="A12">
        <v>11</v>
      </c>
      <c r="B12">
        <v>1800000</v>
      </c>
    </row>
    <row r="13" spans="1:2">
      <c r="A13">
        <v>12</v>
      </c>
      <c r="B13">
        <v>1600000</v>
      </c>
    </row>
    <row r="14" spans="1:2">
      <c r="A14">
        <v>13</v>
      </c>
      <c r="B14">
        <v>5800000</v>
      </c>
    </row>
    <row r="15" spans="1:2">
      <c r="A15">
        <v>14</v>
      </c>
      <c r="B15">
        <v>5000000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EF6D-8216-5541-88FD-7B52B5DC1347}">
  <dimension ref="A1:H2"/>
  <sheetViews>
    <sheetView zoomScale="129" zoomScaleNormal="129" workbookViewId="0">
      <selection activeCell="C21" sqref="C21"/>
    </sheetView>
  </sheetViews>
  <sheetFormatPr baseColWidth="10" defaultRowHeight="18"/>
  <cols>
    <col min="1" max="1" width="12.5" style="4" bestFit="1" customWidth="1"/>
    <col min="2" max="2" width="14.83203125" style="4" bestFit="1" customWidth="1"/>
    <col min="3" max="3" width="12.83203125" style="4" customWidth="1"/>
    <col min="4" max="4" width="15.5" style="4" customWidth="1"/>
    <col min="5" max="5" width="17.5" style="4" customWidth="1"/>
    <col min="6" max="6" width="31.33203125" style="7" customWidth="1"/>
    <col min="7" max="7" width="23.33203125" style="4" bestFit="1" customWidth="1"/>
    <col min="8" max="8" width="22.33203125" style="4" bestFit="1" customWidth="1"/>
    <col min="9" max="16384" width="10.83203125" style="4"/>
  </cols>
  <sheetData>
    <row r="1" spans="1:8" ht="38">
      <c r="A1" s="9" t="s">
        <v>45</v>
      </c>
      <c r="B1" s="1" t="s">
        <v>38</v>
      </c>
      <c r="C1" s="1" t="s">
        <v>39</v>
      </c>
      <c r="D1" s="2" t="s">
        <v>40</v>
      </c>
      <c r="E1" s="2" t="s">
        <v>41</v>
      </c>
      <c r="F1" s="3" t="s">
        <v>42</v>
      </c>
      <c r="G1" s="1" t="s">
        <v>43</v>
      </c>
      <c r="H1" s="1" t="s">
        <v>44</v>
      </c>
    </row>
    <row r="2" spans="1:8">
      <c r="A2" s="8">
        <f>100000000/1000000</f>
        <v>100</v>
      </c>
      <c r="B2" s="5">
        <v>60</v>
      </c>
      <c r="C2" s="5">
        <v>1</v>
      </c>
      <c r="D2" s="5">
        <v>102.5</v>
      </c>
      <c r="E2" s="5">
        <v>97.5</v>
      </c>
      <c r="F2" s="5">
        <v>0</v>
      </c>
      <c r="G2" s="6">
        <v>3.5999999999999997E-2</v>
      </c>
      <c r="H2" s="5">
        <v>0.01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</vt:lpstr>
      <vt:lpstr>AC Bus Data</vt:lpstr>
      <vt:lpstr>AC 3w Transformer Data</vt:lpstr>
      <vt:lpstr>AC Gen Data</vt:lpstr>
      <vt:lpstr>AC Line Data</vt:lpstr>
      <vt:lpstr>AC P Consume Data</vt:lpstr>
      <vt:lpstr>AC Q Consume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장하민</cp:lastModifiedBy>
  <dcterms:modified xsi:type="dcterms:W3CDTF">2026-03-03T17:43:29Z</dcterms:modified>
</cp:coreProperties>
</file>