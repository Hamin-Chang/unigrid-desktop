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/>
  <mc:AlternateContent xmlns:mc="http://schemas.openxmlformats.org/markup-compatibility/2006">
    <mc:Choice Requires="x15">
      <x15ac:absPath xmlns:x15ac="http://schemas.microsoft.com/office/spreadsheetml/2010/11/ac" url="/Users/hamin/Desktop/GML/01_핵심_연구프로젝트/ACDC/01_Unigrid/Phase A_Balance/newest/v14/"/>
    </mc:Choice>
  </mc:AlternateContent>
  <xr:revisionPtr revIDLastSave="0" documentId="13_ncr:1_{0B2CC614-4489-4E47-983D-DFB19655DCF4}" xr6:coauthVersionLast="47" xr6:coauthVersionMax="47" xr10:uidLastSave="{00000000-0000-0000-0000-000000000000}"/>
  <bookViews>
    <workbookView xWindow="29400" yWindow="2460" windowWidth="23880" windowHeight="16080" firstSheet="4" activeTab="11" xr2:uid="{4EE2BD2D-18E2-7C40-B1D7-52E9F003A5DB}"/>
  </bookViews>
  <sheets>
    <sheet name="Mode" sheetId="7" r:id="rId1"/>
    <sheet name="AC Bus Data" sheetId="1" r:id="rId2"/>
    <sheet name="AC Line Data" sheetId="2" r:id="rId3"/>
    <sheet name="AC Gen Data" sheetId="12" r:id="rId4"/>
    <sheet name="AC 3w Transformer Data" sheetId="14" r:id="rId5"/>
    <sheet name="AC P Consume Data" sheetId="9" r:id="rId6"/>
    <sheet name="AC Q Consume Data" sheetId="10" r:id="rId7"/>
    <sheet name="DC Bus Data" sheetId="3" r:id="rId8"/>
    <sheet name="DC Line Data" sheetId="4" r:id="rId9"/>
    <sheet name="DC Gen Data" sheetId="13" r:id="rId10"/>
    <sheet name="DC P Consume Data" sheetId="11" r:id="rId11"/>
    <sheet name="ACDC IC Data" sheetId="5" r:id="rId12"/>
    <sheet name="MVDC LVDC Converter Data" sheetId="8" r:id="rId13"/>
    <sheet name="Sbase,frequency" sheetId="6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2" l="1"/>
  <c r="E3" i="13"/>
  <c r="E4" i="13"/>
  <c r="E5" i="13"/>
  <c r="E2" i="13"/>
  <c r="D34" i="10"/>
  <c r="D33" i="10"/>
  <c r="D32" i="10"/>
  <c r="D31" i="10"/>
  <c r="D30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D2" i="9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5" i="10"/>
  <c r="C4" i="10"/>
  <c r="C3" i="10"/>
  <c r="C2" i="10"/>
  <c r="C2" i="9"/>
  <c r="F34" i="11"/>
  <c r="E34" i="11"/>
  <c r="F33" i="11"/>
  <c r="E33" i="11"/>
  <c r="F32" i="11"/>
  <c r="E32" i="11"/>
  <c r="F31" i="11"/>
  <c r="E31" i="11"/>
  <c r="F30" i="11"/>
  <c r="E30" i="11"/>
  <c r="F29" i="11"/>
  <c r="E29" i="11"/>
  <c r="F28" i="11"/>
  <c r="E28" i="11"/>
  <c r="F27" i="11"/>
  <c r="E27" i="11"/>
  <c r="F26" i="11"/>
  <c r="E26" i="11"/>
  <c r="F25" i="11"/>
  <c r="E25" i="11"/>
  <c r="F24" i="11"/>
  <c r="E24" i="11"/>
  <c r="F23" i="11"/>
  <c r="E23" i="11"/>
  <c r="F22" i="11"/>
  <c r="E22" i="11"/>
  <c r="F21" i="11"/>
  <c r="E21" i="11"/>
  <c r="F20" i="11"/>
  <c r="E20" i="11"/>
  <c r="F19" i="11"/>
  <c r="E19" i="11"/>
  <c r="F18" i="11"/>
  <c r="E18" i="11"/>
  <c r="F17" i="11"/>
  <c r="E17" i="11"/>
  <c r="F16" i="11"/>
  <c r="E16" i="11"/>
  <c r="F15" i="11"/>
  <c r="E15" i="11"/>
  <c r="F14" i="11"/>
  <c r="E14" i="11"/>
  <c r="F13" i="11"/>
  <c r="E13" i="11"/>
  <c r="F12" i="11"/>
  <c r="E12" i="11"/>
  <c r="F11" i="11"/>
  <c r="E11" i="11"/>
  <c r="F10" i="11"/>
  <c r="E10" i="11"/>
  <c r="F9" i="11"/>
  <c r="E9" i="11"/>
  <c r="F8" i="11"/>
  <c r="E8" i="11"/>
  <c r="F7" i="11"/>
  <c r="E7" i="11"/>
  <c r="F6" i="11"/>
  <c r="F5" i="11"/>
  <c r="E5" i="11"/>
  <c r="F4" i="11"/>
  <c r="E4" i="11"/>
  <c r="F3" i="11"/>
  <c r="E3" i="11"/>
  <c r="F3" i="12"/>
  <c r="F4" i="12"/>
  <c r="F5" i="12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G34" i="9"/>
  <c r="F34" i="9"/>
  <c r="E34" i="9"/>
  <c r="G33" i="9"/>
  <c r="F33" i="9"/>
  <c r="E33" i="9"/>
  <c r="G32" i="9"/>
  <c r="F32" i="9"/>
  <c r="E32" i="9"/>
  <c r="G31" i="9"/>
  <c r="F31" i="9"/>
  <c r="E31" i="9"/>
  <c r="G30" i="9"/>
  <c r="F30" i="9"/>
  <c r="E30" i="9"/>
  <c r="G29" i="9"/>
  <c r="F29" i="9"/>
  <c r="E29" i="9"/>
  <c r="G28" i="9"/>
  <c r="F28" i="9"/>
  <c r="E28" i="9"/>
  <c r="G27" i="9"/>
  <c r="F27" i="9"/>
  <c r="E27" i="9"/>
  <c r="G26" i="9"/>
  <c r="F26" i="9"/>
  <c r="E26" i="9"/>
  <c r="G25" i="9"/>
  <c r="F25" i="9"/>
  <c r="E25" i="9"/>
  <c r="G24" i="9"/>
  <c r="F24" i="9"/>
  <c r="E24" i="9"/>
  <c r="G23" i="9"/>
  <c r="F23" i="9"/>
  <c r="E23" i="9"/>
  <c r="G22" i="9"/>
  <c r="F22" i="9"/>
  <c r="E22" i="9"/>
  <c r="G21" i="9"/>
  <c r="F21" i="9"/>
  <c r="E21" i="9"/>
  <c r="G20" i="9"/>
  <c r="F20" i="9"/>
  <c r="E20" i="9"/>
  <c r="G19" i="9"/>
  <c r="F19" i="9"/>
  <c r="E19" i="9"/>
  <c r="G18" i="9"/>
  <c r="F18" i="9"/>
  <c r="E18" i="9"/>
  <c r="G17" i="9"/>
  <c r="F17" i="9"/>
  <c r="E17" i="9"/>
  <c r="G16" i="9"/>
  <c r="F16" i="9"/>
  <c r="E16" i="9"/>
  <c r="G15" i="9"/>
  <c r="F15" i="9"/>
  <c r="E15" i="9"/>
  <c r="G14" i="9"/>
  <c r="F14" i="9"/>
  <c r="E14" i="9"/>
  <c r="G13" i="9"/>
  <c r="F13" i="9"/>
  <c r="E13" i="9"/>
  <c r="G12" i="9"/>
  <c r="F12" i="9"/>
  <c r="E12" i="9"/>
  <c r="G11" i="9"/>
  <c r="F11" i="9"/>
  <c r="E11" i="9"/>
  <c r="G10" i="9"/>
  <c r="F10" i="9"/>
  <c r="E10" i="9"/>
  <c r="G9" i="9"/>
  <c r="F9" i="9"/>
  <c r="E9" i="9"/>
  <c r="G8" i="9"/>
  <c r="F8" i="9"/>
  <c r="E8" i="9"/>
  <c r="G7" i="9"/>
  <c r="F7" i="9"/>
  <c r="E7" i="9"/>
  <c r="G6" i="9"/>
  <c r="F6" i="9"/>
  <c r="E6" i="9"/>
  <c r="G5" i="9"/>
  <c r="F5" i="9"/>
  <c r="E5" i="9"/>
  <c r="G4" i="9"/>
  <c r="F4" i="9"/>
  <c r="E4" i="9"/>
  <c r="G3" i="9"/>
  <c r="F3" i="9"/>
  <c r="E3" i="9"/>
  <c r="G2" i="9"/>
  <c r="F2" i="9"/>
  <c r="E2" i="9"/>
  <c r="G3" i="12"/>
  <c r="G4" i="12"/>
  <c r="G5" i="12"/>
  <c r="G2" i="12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E2" i="10"/>
  <c r="F2" i="10"/>
  <c r="G2" i="10"/>
  <c r="H2" i="10"/>
  <c r="I2" i="10"/>
  <c r="J2" i="10"/>
  <c r="K2" i="10"/>
  <c r="L2" i="10"/>
  <c r="M2" i="10"/>
  <c r="N2" i="10"/>
  <c r="O2" i="10"/>
  <c r="P2" i="10"/>
  <c r="Q2" i="10"/>
  <c r="R2" i="10"/>
  <c r="S2" i="10"/>
  <c r="T2" i="10"/>
  <c r="U2" i="10"/>
  <c r="V2" i="10"/>
  <c r="W2" i="10"/>
  <c r="X2" i="10"/>
  <c r="Y2" i="10"/>
  <c r="E3" i="10"/>
  <c r="F3" i="10"/>
  <c r="G3" i="10"/>
  <c r="H3" i="10"/>
  <c r="I3" i="10"/>
  <c r="J3" i="10"/>
  <c r="K3" i="10"/>
  <c r="L3" i="10"/>
  <c r="M3" i="10"/>
  <c r="N3" i="10"/>
  <c r="O3" i="10"/>
  <c r="P3" i="10"/>
  <c r="Q3" i="10"/>
  <c r="R3" i="10"/>
  <c r="S3" i="10"/>
  <c r="T3" i="10"/>
  <c r="U3" i="10"/>
  <c r="V3" i="10"/>
  <c r="W3" i="10"/>
  <c r="X3" i="10"/>
  <c r="Y3" i="10"/>
  <c r="B2" i="10"/>
  <c r="B3" i="10"/>
  <c r="H3" i="9"/>
  <c r="I3" i="9"/>
  <c r="J3" i="9"/>
  <c r="K3" i="9"/>
  <c r="L3" i="9"/>
  <c r="M3" i="9"/>
  <c r="N3" i="9"/>
  <c r="O3" i="9"/>
  <c r="P3" i="9"/>
  <c r="Q3" i="9"/>
  <c r="R3" i="9"/>
  <c r="S3" i="9"/>
  <c r="T3" i="9"/>
  <c r="U3" i="9"/>
  <c r="V3" i="9"/>
  <c r="W3" i="9"/>
  <c r="X3" i="9"/>
  <c r="Y3" i="9"/>
  <c r="E4" i="10"/>
  <c r="F4" i="10"/>
  <c r="G4" i="10"/>
  <c r="H4" i="10"/>
  <c r="I4" i="10"/>
  <c r="J4" i="10"/>
  <c r="K4" i="10"/>
  <c r="L4" i="10"/>
  <c r="M4" i="10"/>
  <c r="N4" i="10"/>
  <c r="O4" i="10"/>
  <c r="P4" i="10"/>
  <c r="Q4" i="10"/>
  <c r="R4" i="10"/>
  <c r="S4" i="10"/>
  <c r="T4" i="10"/>
  <c r="U4" i="10"/>
  <c r="V4" i="10"/>
  <c r="W4" i="10"/>
  <c r="X4" i="10"/>
  <c r="Y4" i="10"/>
  <c r="E5" i="10"/>
  <c r="F5" i="10"/>
  <c r="G5" i="10"/>
  <c r="H5" i="10"/>
  <c r="I5" i="10"/>
  <c r="J5" i="10"/>
  <c r="K5" i="10"/>
  <c r="L5" i="10"/>
  <c r="M5" i="10"/>
  <c r="N5" i="10"/>
  <c r="O5" i="10"/>
  <c r="P5" i="10"/>
  <c r="Q5" i="10"/>
  <c r="R5" i="10"/>
  <c r="S5" i="10"/>
  <c r="T5" i="10"/>
  <c r="U5" i="10"/>
  <c r="V5" i="10"/>
  <c r="W5" i="10"/>
  <c r="X5" i="10"/>
  <c r="Y5" i="10"/>
  <c r="E6" i="10"/>
  <c r="F6" i="10"/>
  <c r="G6" i="10"/>
  <c r="H6" i="10"/>
  <c r="I6" i="10"/>
  <c r="J6" i="10"/>
  <c r="K6" i="10"/>
  <c r="L6" i="10"/>
  <c r="M6" i="10"/>
  <c r="N6" i="10"/>
  <c r="O6" i="10"/>
  <c r="P6" i="10"/>
  <c r="Q6" i="10"/>
  <c r="R6" i="10"/>
  <c r="S6" i="10"/>
  <c r="T6" i="10"/>
  <c r="U6" i="10"/>
  <c r="V6" i="10"/>
  <c r="W6" i="10"/>
  <c r="X6" i="10"/>
  <c r="Y6" i="10"/>
  <c r="E7" i="10"/>
  <c r="F7" i="10"/>
  <c r="G7" i="10"/>
  <c r="H7" i="10"/>
  <c r="I7" i="10"/>
  <c r="J7" i="10"/>
  <c r="K7" i="10"/>
  <c r="L7" i="10"/>
  <c r="M7" i="10"/>
  <c r="N7" i="10"/>
  <c r="O7" i="10"/>
  <c r="P7" i="10"/>
  <c r="Q7" i="10"/>
  <c r="R7" i="10"/>
  <c r="S7" i="10"/>
  <c r="T7" i="10"/>
  <c r="U7" i="10"/>
  <c r="V7" i="10"/>
  <c r="W7" i="10"/>
  <c r="X7" i="10"/>
  <c r="Y7" i="10"/>
  <c r="E8" i="10"/>
  <c r="F8" i="10"/>
  <c r="G8" i="10"/>
  <c r="H8" i="10"/>
  <c r="I8" i="10"/>
  <c r="J8" i="10"/>
  <c r="K8" i="10"/>
  <c r="L8" i="10"/>
  <c r="M8" i="10"/>
  <c r="N8" i="10"/>
  <c r="O8" i="10"/>
  <c r="P8" i="10"/>
  <c r="Q8" i="10"/>
  <c r="R8" i="10"/>
  <c r="S8" i="10"/>
  <c r="T8" i="10"/>
  <c r="U8" i="10"/>
  <c r="V8" i="10"/>
  <c r="W8" i="10"/>
  <c r="X8" i="10"/>
  <c r="Y8" i="10"/>
  <c r="E9" i="10"/>
  <c r="F9" i="10"/>
  <c r="G9" i="10"/>
  <c r="H9" i="10"/>
  <c r="I9" i="10"/>
  <c r="J9" i="10"/>
  <c r="K9" i="10"/>
  <c r="L9" i="10"/>
  <c r="M9" i="10"/>
  <c r="N9" i="10"/>
  <c r="O9" i="10"/>
  <c r="P9" i="10"/>
  <c r="Q9" i="10"/>
  <c r="R9" i="10"/>
  <c r="S9" i="10"/>
  <c r="T9" i="10"/>
  <c r="U9" i="10"/>
  <c r="V9" i="10"/>
  <c r="W9" i="10"/>
  <c r="X9" i="10"/>
  <c r="Y9" i="10"/>
  <c r="E10" i="10"/>
  <c r="F10" i="10"/>
  <c r="G10" i="10"/>
  <c r="H10" i="10"/>
  <c r="I10" i="10"/>
  <c r="J10" i="10"/>
  <c r="K10" i="10"/>
  <c r="L10" i="10"/>
  <c r="M10" i="10"/>
  <c r="N10" i="10"/>
  <c r="O10" i="10"/>
  <c r="P10" i="10"/>
  <c r="Q10" i="10"/>
  <c r="R10" i="10"/>
  <c r="S10" i="10"/>
  <c r="T10" i="10"/>
  <c r="U10" i="10"/>
  <c r="V10" i="10"/>
  <c r="W10" i="10"/>
  <c r="X10" i="10"/>
  <c r="Y10" i="10"/>
  <c r="E11" i="10"/>
  <c r="F11" i="10"/>
  <c r="G11" i="10"/>
  <c r="H11" i="10"/>
  <c r="I11" i="10"/>
  <c r="J11" i="10"/>
  <c r="K11" i="10"/>
  <c r="L11" i="10"/>
  <c r="M11" i="10"/>
  <c r="N11" i="10"/>
  <c r="O11" i="10"/>
  <c r="P11" i="10"/>
  <c r="Q11" i="10"/>
  <c r="R11" i="10"/>
  <c r="S11" i="10"/>
  <c r="T11" i="10"/>
  <c r="U11" i="10"/>
  <c r="V11" i="10"/>
  <c r="W11" i="10"/>
  <c r="X11" i="10"/>
  <c r="Y11" i="10"/>
  <c r="E12" i="10"/>
  <c r="F12" i="10"/>
  <c r="G12" i="10"/>
  <c r="H12" i="10"/>
  <c r="I12" i="10"/>
  <c r="J12" i="10"/>
  <c r="K12" i="10"/>
  <c r="L12" i="10"/>
  <c r="M12" i="10"/>
  <c r="N12" i="10"/>
  <c r="O12" i="10"/>
  <c r="P12" i="10"/>
  <c r="Q12" i="10"/>
  <c r="R12" i="10"/>
  <c r="S12" i="10"/>
  <c r="T12" i="10"/>
  <c r="U12" i="10"/>
  <c r="V12" i="10"/>
  <c r="W12" i="10"/>
  <c r="X12" i="10"/>
  <c r="Y12" i="10"/>
  <c r="E13" i="10"/>
  <c r="F13" i="10"/>
  <c r="G13" i="10"/>
  <c r="H13" i="10"/>
  <c r="I13" i="10"/>
  <c r="J13" i="10"/>
  <c r="K13" i="10"/>
  <c r="L13" i="10"/>
  <c r="M13" i="10"/>
  <c r="N13" i="10"/>
  <c r="O13" i="10"/>
  <c r="P13" i="10"/>
  <c r="Q13" i="10"/>
  <c r="R13" i="10"/>
  <c r="S13" i="10"/>
  <c r="T13" i="10"/>
  <c r="U13" i="10"/>
  <c r="V13" i="10"/>
  <c r="W13" i="10"/>
  <c r="X13" i="10"/>
  <c r="Y13" i="10"/>
  <c r="E14" i="10"/>
  <c r="F14" i="10"/>
  <c r="G14" i="10"/>
  <c r="H14" i="10"/>
  <c r="I14" i="10"/>
  <c r="J14" i="10"/>
  <c r="K14" i="10"/>
  <c r="L14" i="10"/>
  <c r="M14" i="10"/>
  <c r="N14" i="10"/>
  <c r="O14" i="10"/>
  <c r="P14" i="10"/>
  <c r="Q14" i="10"/>
  <c r="R14" i="10"/>
  <c r="S14" i="10"/>
  <c r="T14" i="10"/>
  <c r="U14" i="10"/>
  <c r="V14" i="10"/>
  <c r="W14" i="10"/>
  <c r="X14" i="10"/>
  <c r="Y14" i="10"/>
  <c r="E15" i="10"/>
  <c r="F15" i="10"/>
  <c r="G15" i="10"/>
  <c r="H15" i="10"/>
  <c r="I15" i="10"/>
  <c r="J15" i="10"/>
  <c r="K15" i="10"/>
  <c r="L15" i="10"/>
  <c r="M15" i="10"/>
  <c r="N15" i="10"/>
  <c r="O15" i="10"/>
  <c r="P15" i="10"/>
  <c r="Q15" i="10"/>
  <c r="R15" i="10"/>
  <c r="S15" i="10"/>
  <c r="T15" i="10"/>
  <c r="U15" i="10"/>
  <c r="V15" i="10"/>
  <c r="W15" i="10"/>
  <c r="X15" i="10"/>
  <c r="Y15" i="10"/>
  <c r="E16" i="10"/>
  <c r="F16" i="10"/>
  <c r="G16" i="10"/>
  <c r="H16" i="10"/>
  <c r="I16" i="10"/>
  <c r="J16" i="10"/>
  <c r="K16" i="10"/>
  <c r="L16" i="10"/>
  <c r="M16" i="10"/>
  <c r="N16" i="10"/>
  <c r="O16" i="10"/>
  <c r="P16" i="10"/>
  <c r="Q16" i="10"/>
  <c r="R16" i="10"/>
  <c r="S16" i="10"/>
  <c r="T16" i="10"/>
  <c r="U16" i="10"/>
  <c r="V16" i="10"/>
  <c r="W16" i="10"/>
  <c r="X16" i="10"/>
  <c r="Y16" i="10"/>
  <c r="E17" i="10"/>
  <c r="F17" i="10"/>
  <c r="G17" i="10"/>
  <c r="H17" i="10"/>
  <c r="I17" i="10"/>
  <c r="J17" i="10"/>
  <c r="K17" i="10"/>
  <c r="L17" i="10"/>
  <c r="M17" i="10"/>
  <c r="N17" i="10"/>
  <c r="O17" i="10"/>
  <c r="P17" i="10"/>
  <c r="Q17" i="10"/>
  <c r="R17" i="10"/>
  <c r="S17" i="10"/>
  <c r="T17" i="10"/>
  <c r="U17" i="10"/>
  <c r="V17" i="10"/>
  <c r="W17" i="10"/>
  <c r="X17" i="10"/>
  <c r="Y17" i="10"/>
  <c r="E18" i="10"/>
  <c r="F18" i="10"/>
  <c r="G18" i="10"/>
  <c r="H18" i="10"/>
  <c r="I18" i="10"/>
  <c r="J18" i="10"/>
  <c r="K18" i="10"/>
  <c r="L18" i="10"/>
  <c r="M18" i="10"/>
  <c r="N18" i="10"/>
  <c r="O18" i="10"/>
  <c r="P18" i="10"/>
  <c r="Q18" i="10"/>
  <c r="R18" i="10"/>
  <c r="S18" i="10"/>
  <c r="T18" i="10"/>
  <c r="U18" i="10"/>
  <c r="V18" i="10"/>
  <c r="W18" i="10"/>
  <c r="X18" i="10"/>
  <c r="Y18" i="10"/>
  <c r="E19" i="10"/>
  <c r="F19" i="10"/>
  <c r="G19" i="10"/>
  <c r="H19" i="10"/>
  <c r="I19" i="10"/>
  <c r="J19" i="10"/>
  <c r="K19" i="10"/>
  <c r="L19" i="10"/>
  <c r="M19" i="10"/>
  <c r="N19" i="10"/>
  <c r="O19" i="10"/>
  <c r="P19" i="10"/>
  <c r="Q19" i="10"/>
  <c r="R19" i="10"/>
  <c r="S19" i="10"/>
  <c r="T19" i="10"/>
  <c r="U19" i="10"/>
  <c r="V19" i="10"/>
  <c r="W19" i="10"/>
  <c r="X19" i="10"/>
  <c r="Y19" i="10"/>
  <c r="E20" i="10"/>
  <c r="F20" i="10"/>
  <c r="G20" i="10"/>
  <c r="H20" i="10"/>
  <c r="I20" i="10"/>
  <c r="J20" i="10"/>
  <c r="K20" i="10"/>
  <c r="L20" i="10"/>
  <c r="M20" i="10"/>
  <c r="N20" i="10"/>
  <c r="O20" i="10"/>
  <c r="P20" i="10"/>
  <c r="Q20" i="10"/>
  <c r="R20" i="10"/>
  <c r="S20" i="10"/>
  <c r="T20" i="10"/>
  <c r="U20" i="10"/>
  <c r="V20" i="10"/>
  <c r="W20" i="10"/>
  <c r="X20" i="10"/>
  <c r="Y20" i="10"/>
  <c r="E21" i="10"/>
  <c r="F21" i="10"/>
  <c r="G21" i="10"/>
  <c r="H21" i="10"/>
  <c r="I21" i="10"/>
  <c r="J21" i="10"/>
  <c r="K21" i="10"/>
  <c r="L21" i="10"/>
  <c r="M21" i="10"/>
  <c r="N21" i="10"/>
  <c r="O21" i="10"/>
  <c r="P21" i="10"/>
  <c r="Q21" i="10"/>
  <c r="R21" i="10"/>
  <c r="S21" i="10"/>
  <c r="T21" i="10"/>
  <c r="U21" i="10"/>
  <c r="V21" i="10"/>
  <c r="W21" i="10"/>
  <c r="X21" i="10"/>
  <c r="Y21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Q22" i="10"/>
  <c r="R22" i="10"/>
  <c r="S22" i="10"/>
  <c r="T22" i="10"/>
  <c r="U22" i="10"/>
  <c r="V22" i="10"/>
  <c r="W22" i="10"/>
  <c r="X22" i="10"/>
  <c r="Y22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Q23" i="10"/>
  <c r="R23" i="10"/>
  <c r="S23" i="10"/>
  <c r="T23" i="10"/>
  <c r="U23" i="10"/>
  <c r="V23" i="10"/>
  <c r="W23" i="10"/>
  <c r="X23" i="10"/>
  <c r="Y23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Q24" i="10"/>
  <c r="R24" i="10"/>
  <c r="S24" i="10"/>
  <c r="T24" i="10"/>
  <c r="U24" i="10"/>
  <c r="V24" i="10"/>
  <c r="W24" i="10"/>
  <c r="X24" i="10"/>
  <c r="Y24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Q25" i="10"/>
  <c r="R25" i="10"/>
  <c r="S25" i="10"/>
  <c r="T25" i="10"/>
  <c r="U25" i="10"/>
  <c r="V25" i="10"/>
  <c r="W25" i="10"/>
  <c r="X25" i="10"/>
  <c r="Y25" i="10"/>
  <c r="E26" i="10"/>
  <c r="F26" i="10"/>
  <c r="G26" i="10"/>
  <c r="H26" i="10"/>
  <c r="I26" i="10"/>
  <c r="J26" i="10"/>
  <c r="K26" i="10"/>
  <c r="L26" i="10"/>
  <c r="M26" i="10"/>
  <c r="N26" i="10"/>
  <c r="O26" i="10"/>
  <c r="P26" i="10"/>
  <c r="Q26" i="10"/>
  <c r="R26" i="10"/>
  <c r="S26" i="10"/>
  <c r="T26" i="10"/>
  <c r="U26" i="10"/>
  <c r="V26" i="10"/>
  <c r="W26" i="10"/>
  <c r="X26" i="10"/>
  <c r="Y26" i="10"/>
  <c r="E27" i="10"/>
  <c r="F27" i="10"/>
  <c r="G27" i="10"/>
  <c r="H27" i="10"/>
  <c r="I27" i="10"/>
  <c r="J27" i="10"/>
  <c r="K27" i="10"/>
  <c r="L27" i="10"/>
  <c r="M27" i="10"/>
  <c r="N27" i="10"/>
  <c r="O27" i="10"/>
  <c r="P27" i="10"/>
  <c r="Q27" i="10"/>
  <c r="R27" i="10"/>
  <c r="S27" i="10"/>
  <c r="T27" i="10"/>
  <c r="U27" i="10"/>
  <c r="V27" i="10"/>
  <c r="W27" i="10"/>
  <c r="X27" i="10"/>
  <c r="Y27" i="10"/>
  <c r="E28" i="10"/>
  <c r="F28" i="10"/>
  <c r="G28" i="10"/>
  <c r="H28" i="10"/>
  <c r="I28" i="10"/>
  <c r="J28" i="10"/>
  <c r="K28" i="10"/>
  <c r="L28" i="10"/>
  <c r="M28" i="10"/>
  <c r="N28" i="10"/>
  <c r="O28" i="10"/>
  <c r="P28" i="10"/>
  <c r="Q28" i="10"/>
  <c r="R28" i="10"/>
  <c r="S28" i="10"/>
  <c r="T28" i="10"/>
  <c r="U28" i="10"/>
  <c r="V28" i="10"/>
  <c r="W28" i="10"/>
  <c r="X28" i="10"/>
  <c r="Y28" i="10"/>
  <c r="E29" i="10"/>
  <c r="F29" i="10"/>
  <c r="G29" i="10"/>
  <c r="H29" i="10"/>
  <c r="I29" i="10"/>
  <c r="J29" i="10"/>
  <c r="K29" i="10"/>
  <c r="L29" i="10"/>
  <c r="M29" i="10"/>
  <c r="N29" i="10"/>
  <c r="O29" i="10"/>
  <c r="P29" i="10"/>
  <c r="Q29" i="10"/>
  <c r="R29" i="10"/>
  <c r="S29" i="10"/>
  <c r="T29" i="10"/>
  <c r="U29" i="10"/>
  <c r="V29" i="10"/>
  <c r="W29" i="10"/>
  <c r="X29" i="10"/>
  <c r="Y29" i="10"/>
  <c r="E30" i="10"/>
  <c r="F30" i="10"/>
  <c r="G30" i="10"/>
  <c r="H30" i="10"/>
  <c r="I30" i="10"/>
  <c r="J30" i="10"/>
  <c r="K30" i="10"/>
  <c r="L30" i="10"/>
  <c r="M30" i="10"/>
  <c r="N30" i="10"/>
  <c r="O30" i="10"/>
  <c r="P30" i="10"/>
  <c r="Q30" i="10"/>
  <c r="R30" i="10"/>
  <c r="S30" i="10"/>
  <c r="T30" i="10"/>
  <c r="U30" i="10"/>
  <c r="V30" i="10"/>
  <c r="W30" i="10"/>
  <c r="X30" i="10"/>
  <c r="Y30" i="10"/>
  <c r="E31" i="10"/>
  <c r="F31" i="10"/>
  <c r="G31" i="10"/>
  <c r="H31" i="10"/>
  <c r="I31" i="10"/>
  <c r="J31" i="10"/>
  <c r="K31" i="10"/>
  <c r="L31" i="10"/>
  <c r="M31" i="10"/>
  <c r="N31" i="10"/>
  <c r="O31" i="10"/>
  <c r="P31" i="10"/>
  <c r="Q31" i="10"/>
  <c r="R31" i="10"/>
  <c r="S31" i="10"/>
  <c r="T31" i="10"/>
  <c r="U31" i="10"/>
  <c r="V31" i="10"/>
  <c r="W31" i="10"/>
  <c r="X31" i="10"/>
  <c r="Y31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Q32" i="10"/>
  <c r="R32" i="10"/>
  <c r="S32" i="10"/>
  <c r="T32" i="10"/>
  <c r="U32" i="10"/>
  <c r="V32" i="10"/>
  <c r="W32" i="10"/>
  <c r="X32" i="10"/>
  <c r="Y32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Q33" i="10"/>
  <c r="R33" i="10"/>
  <c r="S33" i="10"/>
  <c r="T33" i="10"/>
  <c r="U33" i="10"/>
  <c r="V33" i="10"/>
  <c r="W33" i="10"/>
  <c r="X33" i="10"/>
  <c r="Y33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Q34" i="10"/>
  <c r="R34" i="10"/>
  <c r="S34" i="10"/>
  <c r="T34" i="10"/>
  <c r="U34" i="10"/>
  <c r="V34" i="10"/>
  <c r="W34" i="10"/>
  <c r="X34" i="10"/>
  <c r="Y34" i="10"/>
  <c r="B34" i="10"/>
  <c r="B33" i="10"/>
  <c r="B32" i="10"/>
  <c r="B31" i="10"/>
  <c r="B30" i="10"/>
  <c r="B29" i="10"/>
  <c r="B28" i="10"/>
  <c r="B27" i="10"/>
  <c r="B26" i="10"/>
  <c r="B25" i="10"/>
  <c r="B24" i="10"/>
  <c r="B20" i="10"/>
  <c r="B21" i="10"/>
  <c r="B22" i="10"/>
  <c r="B23" i="10"/>
  <c r="B19" i="10"/>
  <c r="B18" i="10"/>
  <c r="B17" i="10"/>
  <c r="B16" i="10"/>
  <c r="B15" i="10"/>
  <c r="B14" i="10"/>
  <c r="B13" i="10"/>
  <c r="B12" i="10"/>
  <c r="B11" i="10"/>
  <c r="B10" i="10"/>
  <c r="H4" i="9"/>
  <c r="I4" i="9"/>
  <c r="J4" i="9"/>
  <c r="K4" i="9"/>
  <c r="L4" i="9"/>
  <c r="M4" i="9"/>
  <c r="N4" i="9"/>
  <c r="O4" i="9"/>
  <c r="P4" i="9"/>
  <c r="Q4" i="9"/>
  <c r="R4" i="9"/>
  <c r="S4" i="9"/>
  <c r="T4" i="9"/>
  <c r="U4" i="9"/>
  <c r="V4" i="9"/>
  <c r="W4" i="9"/>
  <c r="X4" i="9"/>
  <c r="Y4" i="9"/>
  <c r="B9" i="10"/>
  <c r="B8" i="10"/>
  <c r="B7" i="10"/>
  <c r="B6" i="10"/>
  <c r="B5" i="10"/>
  <c r="B4" i="10"/>
  <c r="H5" i="9"/>
  <c r="I5" i="9"/>
  <c r="J5" i="9"/>
  <c r="K5" i="9"/>
  <c r="L5" i="9"/>
  <c r="M5" i="9"/>
  <c r="N5" i="9"/>
  <c r="O5" i="9"/>
  <c r="P5" i="9"/>
  <c r="Q5" i="9"/>
  <c r="R5" i="9"/>
  <c r="S5" i="9"/>
  <c r="T5" i="9"/>
  <c r="U5" i="9"/>
  <c r="V5" i="9"/>
  <c r="W5" i="9"/>
  <c r="X5" i="9"/>
  <c r="Y5" i="9"/>
  <c r="H6" i="9"/>
  <c r="I6" i="9"/>
  <c r="J6" i="9"/>
  <c r="K6" i="9"/>
  <c r="L6" i="9"/>
  <c r="M6" i="9"/>
  <c r="N6" i="9"/>
  <c r="O6" i="9"/>
  <c r="P6" i="9"/>
  <c r="Q6" i="9"/>
  <c r="R6" i="9"/>
  <c r="S6" i="9"/>
  <c r="T6" i="9"/>
  <c r="U6" i="9"/>
  <c r="V6" i="9"/>
  <c r="W6" i="9"/>
  <c r="X6" i="9"/>
  <c r="Y6" i="9"/>
  <c r="H7" i="9"/>
  <c r="I7" i="9"/>
  <c r="J7" i="9"/>
  <c r="K7" i="9"/>
  <c r="L7" i="9"/>
  <c r="M7" i="9"/>
  <c r="N7" i="9"/>
  <c r="O7" i="9"/>
  <c r="P7" i="9"/>
  <c r="Q7" i="9"/>
  <c r="R7" i="9"/>
  <c r="S7" i="9"/>
  <c r="T7" i="9"/>
  <c r="U7" i="9"/>
  <c r="V7" i="9"/>
  <c r="W7" i="9"/>
  <c r="X7" i="9"/>
  <c r="Y7" i="9"/>
  <c r="H8" i="9"/>
  <c r="I8" i="9"/>
  <c r="J8" i="9"/>
  <c r="K8" i="9"/>
  <c r="L8" i="9"/>
  <c r="M8" i="9"/>
  <c r="N8" i="9"/>
  <c r="O8" i="9"/>
  <c r="P8" i="9"/>
  <c r="Q8" i="9"/>
  <c r="R8" i="9"/>
  <c r="S8" i="9"/>
  <c r="T8" i="9"/>
  <c r="U8" i="9"/>
  <c r="V8" i="9"/>
  <c r="W8" i="9"/>
  <c r="X8" i="9"/>
  <c r="Y8" i="9"/>
  <c r="H9" i="9"/>
  <c r="I9" i="9"/>
  <c r="J9" i="9"/>
  <c r="K9" i="9"/>
  <c r="L9" i="9"/>
  <c r="M9" i="9"/>
  <c r="N9" i="9"/>
  <c r="O9" i="9"/>
  <c r="P9" i="9"/>
  <c r="Q9" i="9"/>
  <c r="R9" i="9"/>
  <c r="S9" i="9"/>
  <c r="T9" i="9"/>
  <c r="U9" i="9"/>
  <c r="V9" i="9"/>
  <c r="W9" i="9"/>
  <c r="X9" i="9"/>
  <c r="Y9" i="9"/>
  <c r="H10" i="9"/>
  <c r="I10" i="9"/>
  <c r="J10" i="9"/>
  <c r="K10" i="9"/>
  <c r="L10" i="9"/>
  <c r="M10" i="9"/>
  <c r="N10" i="9"/>
  <c r="O10" i="9"/>
  <c r="P10" i="9"/>
  <c r="Q10" i="9"/>
  <c r="R10" i="9"/>
  <c r="S10" i="9"/>
  <c r="T10" i="9"/>
  <c r="U10" i="9"/>
  <c r="V10" i="9"/>
  <c r="W10" i="9"/>
  <c r="X10" i="9"/>
  <c r="Y10" i="9"/>
  <c r="H11" i="9"/>
  <c r="I11" i="9"/>
  <c r="J11" i="9"/>
  <c r="K11" i="9"/>
  <c r="L11" i="9"/>
  <c r="M11" i="9"/>
  <c r="N11" i="9"/>
  <c r="O11" i="9"/>
  <c r="P11" i="9"/>
  <c r="Q11" i="9"/>
  <c r="R11" i="9"/>
  <c r="S11" i="9"/>
  <c r="T11" i="9"/>
  <c r="U11" i="9"/>
  <c r="V11" i="9"/>
  <c r="W11" i="9"/>
  <c r="X11" i="9"/>
  <c r="Y11" i="9"/>
  <c r="H12" i="9"/>
  <c r="I12" i="9"/>
  <c r="J12" i="9"/>
  <c r="K12" i="9"/>
  <c r="L12" i="9"/>
  <c r="M12" i="9"/>
  <c r="N12" i="9"/>
  <c r="O12" i="9"/>
  <c r="P12" i="9"/>
  <c r="Q12" i="9"/>
  <c r="R12" i="9"/>
  <c r="S12" i="9"/>
  <c r="T12" i="9"/>
  <c r="U12" i="9"/>
  <c r="V12" i="9"/>
  <c r="W12" i="9"/>
  <c r="X12" i="9"/>
  <c r="Y12" i="9"/>
  <c r="H13" i="9"/>
  <c r="I13" i="9"/>
  <c r="J13" i="9"/>
  <c r="K13" i="9"/>
  <c r="L13" i="9"/>
  <c r="M13" i="9"/>
  <c r="N13" i="9"/>
  <c r="O13" i="9"/>
  <c r="P13" i="9"/>
  <c r="Q13" i="9"/>
  <c r="R13" i="9"/>
  <c r="S13" i="9"/>
  <c r="T13" i="9"/>
  <c r="U13" i="9"/>
  <c r="V13" i="9"/>
  <c r="W13" i="9"/>
  <c r="X13" i="9"/>
  <c r="Y13" i="9"/>
  <c r="H14" i="9"/>
  <c r="I14" i="9"/>
  <c r="J14" i="9"/>
  <c r="K14" i="9"/>
  <c r="L14" i="9"/>
  <c r="M14" i="9"/>
  <c r="N14" i="9"/>
  <c r="O14" i="9"/>
  <c r="P14" i="9"/>
  <c r="Q14" i="9"/>
  <c r="R14" i="9"/>
  <c r="S14" i="9"/>
  <c r="T14" i="9"/>
  <c r="U14" i="9"/>
  <c r="V14" i="9"/>
  <c r="W14" i="9"/>
  <c r="X14" i="9"/>
  <c r="Y14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W15" i="9"/>
  <c r="X15" i="9"/>
  <c r="Y15" i="9"/>
  <c r="H16" i="9"/>
  <c r="I16" i="9"/>
  <c r="J16" i="9"/>
  <c r="K16" i="9"/>
  <c r="L16" i="9"/>
  <c r="M16" i="9"/>
  <c r="N16" i="9"/>
  <c r="O16" i="9"/>
  <c r="P16" i="9"/>
  <c r="Q16" i="9"/>
  <c r="R16" i="9"/>
  <c r="S16" i="9"/>
  <c r="T16" i="9"/>
  <c r="U16" i="9"/>
  <c r="V16" i="9"/>
  <c r="W16" i="9"/>
  <c r="X16" i="9"/>
  <c r="Y16" i="9"/>
  <c r="H17" i="9"/>
  <c r="I17" i="9"/>
  <c r="J17" i="9"/>
  <c r="K17" i="9"/>
  <c r="L17" i="9"/>
  <c r="M17" i="9"/>
  <c r="N17" i="9"/>
  <c r="O17" i="9"/>
  <c r="P17" i="9"/>
  <c r="Q17" i="9"/>
  <c r="R17" i="9"/>
  <c r="S17" i="9"/>
  <c r="T17" i="9"/>
  <c r="U17" i="9"/>
  <c r="V17" i="9"/>
  <c r="W17" i="9"/>
  <c r="X17" i="9"/>
  <c r="Y17" i="9"/>
  <c r="H18" i="9"/>
  <c r="I18" i="9"/>
  <c r="J18" i="9"/>
  <c r="K18" i="9"/>
  <c r="L18" i="9"/>
  <c r="M18" i="9"/>
  <c r="N18" i="9"/>
  <c r="O18" i="9"/>
  <c r="P18" i="9"/>
  <c r="Q18" i="9"/>
  <c r="R18" i="9"/>
  <c r="S18" i="9"/>
  <c r="T18" i="9"/>
  <c r="U18" i="9"/>
  <c r="V18" i="9"/>
  <c r="W18" i="9"/>
  <c r="X18" i="9"/>
  <c r="Y18" i="9"/>
  <c r="H19" i="9"/>
  <c r="I19" i="9"/>
  <c r="J19" i="9"/>
  <c r="K19" i="9"/>
  <c r="L19" i="9"/>
  <c r="M19" i="9"/>
  <c r="N19" i="9"/>
  <c r="O19" i="9"/>
  <c r="P19" i="9"/>
  <c r="Q19" i="9"/>
  <c r="R19" i="9"/>
  <c r="S19" i="9"/>
  <c r="T19" i="9"/>
  <c r="U19" i="9"/>
  <c r="V19" i="9"/>
  <c r="W19" i="9"/>
  <c r="X19" i="9"/>
  <c r="Y19" i="9"/>
  <c r="H20" i="9"/>
  <c r="I20" i="9"/>
  <c r="J20" i="9"/>
  <c r="K20" i="9"/>
  <c r="L20" i="9"/>
  <c r="M20" i="9"/>
  <c r="N20" i="9"/>
  <c r="O20" i="9"/>
  <c r="P20" i="9"/>
  <c r="Q20" i="9"/>
  <c r="R20" i="9"/>
  <c r="S20" i="9"/>
  <c r="T20" i="9"/>
  <c r="U20" i="9"/>
  <c r="V20" i="9"/>
  <c r="W20" i="9"/>
  <c r="X20" i="9"/>
  <c r="Y20" i="9"/>
  <c r="H21" i="9"/>
  <c r="I21" i="9"/>
  <c r="J21" i="9"/>
  <c r="K21" i="9"/>
  <c r="L21" i="9"/>
  <c r="M21" i="9"/>
  <c r="N21" i="9"/>
  <c r="O21" i="9"/>
  <c r="P21" i="9"/>
  <c r="Q21" i="9"/>
  <c r="R21" i="9"/>
  <c r="S21" i="9"/>
  <c r="T21" i="9"/>
  <c r="U21" i="9"/>
  <c r="V21" i="9"/>
  <c r="W21" i="9"/>
  <c r="X21" i="9"/>
  <c r="Y21" i="9"/>
  <c r="H22" i="9"/>
  <c r="I22" i="9"/>
  <c r="J22" i="9"/>
  <c r="K22" i="9"/>
  <c r="L22" i="9"/>
  <c r="M22" i="9"/>
  <c r="N22" i="9"/>
  <c r="O22" i="9"/>
  <c r="P22" i="9"/>
  <c r="Q22" i="9"/>
  <c r="R22" i="9"/>
  <c r="S22" i="9"/>
  <c r="T22" i="9"/>
  <c r="U22" i="9"/>
  <c r="V22" i="9"/>
  <c r="W22" i="9"/>
  <c r="X22" i="9"/>
  <c r="Y22" i="9"/>
  <c r="H23" i="9"/>
  <c r="I23" i="9"/>
  <c r="J23" i="9"/>
  <c r="K23" i="9"/>
  <c r="L23" i="9"/>
  <c r="M23" i="9"/>
  <c r="N23" i="9"/>
  <c r="O23" i="9"/>
  <c r="P23" i="9"/>
  <c r="Q23" i="9"/>
  <c r="R23" i="9"/>
  <c r="S23" i="9"/>
  <c r="T23" i="9"/>
  <c r="U23" i="9"/>
  <c r="V23" i="9"/>
  <c r="W23" i="9"/>
  <c r="X23" i="9"/>
  <c r="Y23" i="9"/>
  <c r="H24" i="9"/>
  <c r="I24" i="9"/>
  <c r="J24" i="9"/>
  <c r="K24" i="9"/>
  <c r="L24" i="9"/>
  <c r="M24" i="9"/>
  <c r="N24" i="9"/>
  <c r="O24" i="9"/>
  <c r="P24" i="9"/>
  <c r="Q24" i="9"/>
  <c r="R24" i="9"/>
  <c r="S24" i="9"/>
  <c r="T24" i="9"/>
  <c r="U24" i="9"/>
  <c r="V24" i="9"/>
  <c r="W24" i="9"/>
  <c r="X24" i="9"/>
  <c r="Y24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W27" i="9"/>
  <c r="X27" i="9"/>
  <c r="Y27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V28" i="9"/>
  <c r="W28" i="9"/>
  <c r="X28" i="9"/>
  <c r="Y28" i="9"/>
  <c r="H29" i="9"/>
  <c r="I29" i="9"/>
  <c r="J29" i="9"/>
  <c r="K29" i="9"/>
  <c r="L29" i="9"/>
  <c r="M29" i="9"/>
  <c r="N29" i="9"/>
  <c r="O29" i="9"/>
  <c r="P29" i="9"/>
  <c r="Q29" i="9"/>
  <c r="R29" i="9"/>
  <c r="S29" i="9"/>
  <c r="T29" i="9"/>
  <c r="U29" i="9"/>
  <c r="V29" i="9"/>
  <c r="W29" i="9"/>
  <c r="X29" i="9"/>
  <c r="Y29" i="9"/>
  <c r="H30" i="9"/>
  <c r="I30" i="9"/>
  <c r="J30" i="9"/>
  <c r="K30" i="9"/>
  <c r="L30" i="9"/>
  <c r="M30" i="9"/>
  <c r="N30" i="9"/>
  <c r="O30" i="9"/>
  <c r="P30" i="9"/>
  <c r="Q30" i="9"/>
  <c r="R30" i="9"/>
  <c r="S30" i="9"/>
  <c r="T30" i="9"/>
  <c r="U30" i="9"/>
  <c r="V30" i="9"/>
  <c r="W30" i="9"/>
  <c r="X30" i="9"/>
  <c r="Y30" i="9"/>
  <c r="H31" i="9"/>
  <c r="I31" i="9"/>
  <c r="J31" i="9"/>
  <c r="K31" i="9"/>
  <c r="L31" i="9"/>
  <c r="M31" i="9"/>
  <c r="N31" i="9"/>
  <c r="O31" i="9"/>
  <c r="P31" i="9"/>
  <c r="Q31" i="9"/>
  <c r="R31" i="9"/>
  <c r="S31" i="9"/>
  <c r="T31" i="9"/>
  <c r="U31" i="9"/>
  <c r="V31" i="9"/>
  <c r="W31" i="9"/>
  <c r="X31" i="9"/>
  <c r="Y31" i="9"/>
  <c r="H32" i="9"/>
  <c r="I32" i="9"/>
  <c r="J32" i="9"/>
  <c r="K32" i="9"/>
  <c r="L32" i="9"/>
  <c r="M32" i="9"/>
  <c r="N32" i="9"/>
  <c r="O32" i="9"/>
  <c r="P32" i="9"/>
  <c r="Q32" i="9"/>
  <c r="R32" i="9"/>
  <c r="S32" i="9"/>
  <c r="T32" i="9"/>
  <c r="U32" i="9"/>
  <c r="V32" i="9"/>
  <c r="W32" i="9"/>
  <c r="X32" i="9"/>
  <c r="Y32" i="9"/>
  <c r="H33" i="9"/>
  <c r="I33" i="9"/>
  <c r="J33" i="9"/>
  <c r="K33" i="9"/>
  <c r="L33" i="9"/>
  <c r="M33" i="9"/>
  <c r="N33" i="9"/>
  <c r="O33" i="9"/>
  <c r="P33" i="9"/>
  <c r="Q33" i="9"/>
  <c r="R33" i="9"/>
  <c r="S33" i="9"/>
  <c r="T33" i="9"/>
  <c r="U33" i="9"/>
  <c r="V33" i="9"/>
  <c r="W33" i="9"/>
  <c r="X33" i="9"/>
  <c r="Y33" i="9"/>
  <c r="H34" i="9"/>
  <c r="I34" i="9"/>
  <c r="J34" i="9"/>
  <c r="K34" i="9"/>
  <c r="L34" i="9"/>
  <c r="M34" i="9"/>
  <c r="N34" i="9"/>
  <c r="O34" i="9"/>
  <c r="P34" i="9"/>
  <c r="Q34" i="9"/>
  <c r="R34" i="9"/>
  <c r="S34" i="9"/>
  <c r="T34" i="9"/>
  <c r="U34" i="9"/>
  <c r="V34" i="9"/>
  <c r="W34" i="9"/>
  <c r="X34" i="9"/>
  <c r="Y34" i="9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4" i="2"/>
  <c r="D3" i="2"/>
  <c r="D2" i="2"/>
  <c r="D5" i="2"/>
</calcChain>
</file>

<file path=xl/sharedStrings.xml><?xml version="1.0" encoding="utf-8"?>
<sst xmlns="http://schemas.openxmlformats.org/spreadsheetml/2006/main" count="135" uniqueCount="116">
  <si>
    <t>Bus</t>
    <phoneticPr fontId="1" type="noConversion"/>
  </si>
  <si>
    <t>From</t>
    <phoneticPr fontId="1" type="noConversion"/>
  </si>
  <si>
    <t>To</t>
    <phoneticPr fontId="1" type="noConversion"/>
  </si>
  <si>
    <t>R [Ω]</t>
    <phoneticPr fontId="1" type="noConversion"/>
  </si>
  <si>
    <t>From(AC)</t>
    <phoneticPr fontId="1" type="noConversion"/>
  </si>
  <si>
    <t>To(DC)</t>
    <phoneticPr fontId="1" type="noConversion"/>
  </si>
  <si>
    <t>Operating Point (P)</t>
    <phoneticPr fontId="1" type="noConversion"/>
  </si>
  <si>
    <t>Z_p</t>
    <phoneticPr fontId="1" type="noConversion"/>
  </si>
  <si>
    <t>I_p</t>
    <phoneticPr fontId="1" type="noConversion"/>
  </si>
  <si>
    <t>P_p</t>
    <phoneticPr fontId="1" type="noConversion"/>
  </si>
  <si>
    <t>Z_q</t>
    <phoneticPr fontId="1" type="noConversion"/>
  </si>
  <si>
    <t>I_q</t>
    <phoneticPr fontId="1" type="noConversion"/>
  </si>
  <si>
    <t>P_q</t>
    <phoneticPr fontId="1" type="noConversion"/>
  </si>
  <si>
    <t>k_pw</t>
    <phoneticPr fontId="1" type="noConversion"/>
  </si>
  <si>
    <t>k_qw</t>
    <phoneticPr fontId="1" type="noConversion"/>
  </si>
  <si>
    <t>Nominal Current</t>
    <phoneticPr fontId="1" type="noConversion"/>
  </si>
  <si>
    <t>Efficiency Curve (C0)</t>
    <phoneticPr fontId="1" type="noConversion"/>
  </si>
  <si>
    <t>Efficiency Curve (C1)</t>
    <phoneticPr fontId="1" type="noConversion"/>
  </si>
  <si>
    <t>Efficiency Curve (C2)</t>
    <phoneticPr fontId="1" type="noConversion"/>
  </si>
  <si>
    <t>S_base [VA]</t>
    <phoneticPr fontId="1" type="noConversion"/>
  </si>
  <si>
    <t>freq_base [Hz]</t>
    <phoneticPr fontId="1" type="noConversion"/>
  </si>
  <si>
    <t>P IC Max [W]</t>
    <phoneticPr fontId="1" type="noConversion"/>
  </si>
  <si>
    <t>X [Ω]</t>
    <phoneticPr fontId="1" type="noConversion"/>
  </si>
  <si>
    <t>Droop Coefficient (P)
DC_VM_norm</t>
    <phoneticPr fontId="1" type="noConversion"/>
  </si>
  <si>
    <t>Droop Coefficient (P)
freq_norm</t>
    <phoneticPr fontId="1" type="noConversion"/>
  </si>
  <si>
    <t>Mode ( 0 : AC / DC Hybrid, 1 : AC only, 2 : DC only)</t>
  </si>
  <si>
    <t>V0 [pu]</t>
    <phoneticPr fontId="1" type="noConversion"/>
  </si>
  <si>
    <t>V_base [V]</t>
    <phoneticPr fontId="1" type="noConversion"/>
  </si>
  <si>
    <t>B [S]</t>
    <phoneticPr fontId="1" type="noConversion"/>
  </si>
  <si>
    <t>Tap ratio</t>
    <phoneticPr fontId="1" type="noConversion"/>
  </si>
  <si>
    <t xml:space="preserve">angle(°) </t>
    <phoneticPr fontId="1" type="noConversion"/>
  </si>
  <si>
    <t>f_0 [pu]</t>
    <phoneticPr fontId="1" type="noConversion"/>
  </si>
  <si>
    <t>Droop Coefficient (P)
LVDC VM_norm</t>
    <phoneticPr fontId="1" type="noConversion"/>
  </si>
  <si>
    <t>Droop Coefficient (P)
MVDC VM_norm</t>
    <phoneticPr fontId="1" type="noConversion"/>
  </si>
  <si>
    <t>To (LVDC)</t>
    <phoneticPr fontId="1" type="noConversion"/>
  </si>
  <si>
    <t>From (MVDC)</t>
    <phoneticPr fontId="1" type="noConversion"/>
  </si>
  <si>
    <t>Droop (P) [%]</t>
    <phoneticPr fontId="1" type="noConversion"/>
  </si>
  <si>
    <t>Droop (Q) [%]</t>
    <phoneticPr fontId="1" type="noConversion"/>
  </si>
  <si>
    <t xml:space="preserve">AC Gen Type
(No Gen : 0/AC Trans : 1/
Syn Gen : 2/IBR : 3) </t>
    <phoneticPr fontId="1" type="noConversion"/>
  </si>
  <si>
    <t>P_gen [W]</t>
    <phoneticPr fontId="1" type="noConversion"/>
  </si>
  <si>
    <t>Q_gen [Var]</t>
    <phoneticPr fontId="1" type="noConversion"/>
  </si>
  <si>
    <t>Va [°]</t>
    <phoneticPr fontId="1" type="noConversion"/>
  </si>
  <si>
    <t>connection
status (0/1)</t>
    <phoneticPr fontId="1" type="noConversion"/>
  </si>
  <si>
    <t>Bus / 시각</t>
    <phoneticPr fontId="1" type="noConversion"/>
  </si>
  <si>
    <t>connection
status (0/1)</t>
  </si>
  <si>
    <t>Control Mode
(Off : 0 / CV(LVDC) : 1 / 추후 : 2)</t>
  </si>
  <si>
    <t>V_min [pu]</t>
    <phoneticPr fontId="1" type="noConversion"/>
  </si>
  <si>
    <t>V_max [pu]</t>
    <phoneticPr fontId="1" type="noConversion"/>
  </si>
  <si>
    <t>rateA [MVA]</t>
    <phoneticPr fontId="1" type="noConversion"/>
  </si>
  <si>
    <t>rateB [MVA]</t>
    <phoneticPr fontId="1" type="noConversion"/>
  </si>
  <si>
    <t>rateC [MVA]</t>
    <phoneticPr fontId="1" type="noConversion"/>
  </si>
  <si>
    <t>Line #</t>
    <phoneticPr fontId="1" type="noConversion"/>
  </si>
  <si>
    <t>Bus_No</t>
    <phoneticPr fontId="1" type="noConversion"/>
  </si>
  <si>
    <r>
      <t xml:space="preserve">AC Gen Mode
 (PQ Mode : 0/Droop Mode : 1/ 
PV Mode : 2/Slack : 3)
</t>
    </r>
    <r>
      <rPr>
        <sz val="12"/>
        <color rgb="FFFF0000"/>
        <rFont val="맑은 고딕"/>
        <family val="3"/>
        <charset val="129"/>
      </rPr>
      <t>Same Bus = Same Gen Mode</t>
    </r>
    <phoneticPr fontId="1" type="noConversion"/>
  </si>
  <si>
    <t>Vg [pu]
(If Gen PV mode or Droop mode)</t>
    <phoneticPr fontId="1" type="noConversion"/>
  </si>
  <si>
    <t>Status
(미반영)</t>
    <phoneticPr fontId="1" type="noConversion"/>
  </si>
  <si>
    <t xml:space="preserve">DC Gen Type
(No Gen : 0/IBR : 1/
ESS : 2/Fuel Cell :3 / Generator : 4) </t>
    <phoneticPr fontId="1" type="noConversion"/>
  </si>
  <si>
    <r>
      <t xml:space="preserve">DC Gen Mode
 (P: Mode : 0/Droop Mode : 1/ 
CV Mode : 2)
</t>
    </r>
    <r>
      <rPr>
        <sz val="12"/>
        <color rgb="FFFF0000"/>
        <rFont val="맑은 고딕"/>
        <family val="3"/>
        <charset val="129"/>
      </rPr>
      <t>Same Bus = Same Gen Mode</t>
    </r>
    <phoneticPr fontId="1" type="noConversion"/>
  </si>
  <si>
    <t>VM min [pu]</t>
    <phoneticPr fontId="1" type="noConversion"/>
  </si>
  <si>
    <t>VM max [pu]</t>
    <phoneticPr fontId="1" type="noConversion"/>
  </si>
  <si>
    <t xml:space="preserve"> P Operating Point [W]</t>
    <phoneticPr fontId="1" type="noConversion"/>
  </si>
  <si>
    <t xml:space="preserve"> Q Operating Point [Var]</t>
    <phoneticPr fontId="1" type="noConversion"/>
  </si>
  <si>
    <t>freq_min [pu]</t>
    <phoneticPr fontId="1" type="noConversion"/>
  </si>
  <si>
    <t>freq_max[pu]</t>
    <phoneticPr fontId="1" type="noConversion"/>
  </si>
  <si>
    <t>Droop Coefficient (Q)
k_q_IC</t>
    <phoneticPr fontId="1" type="noConversion"/>
  </si>
  <si>
    <t xml:space="preserve">AC Control Mode
( 0: CQ / 1 : Droop / 2 : CV ) </t>
    <phoneticPr fontId="1" type="noConversion"/>
  </si>
  <si>
    <t xml:space="preserve">DC Control Mode
( 0: CP / 1 : Droop / 2 : CV ) </t>
    <phoneticPr fontId="1" type="noConversion"/>
  </si>
  <si>
    <t>Frequency Control Mode
( 0 : Variable / 1 : Constant )</t>
    <phoneticPr fontId="1" type="noConversion"/>
  </si>
  <si>
    <t>Status
( 0 : off / 1 : on )</t>
    <phoneticPr fontId="1" type="noConversion"/>
  </si>
  <si>
    <t>Area(반영X)</t>
    <phoneticPr fontId="1" type="noConversion"/>
  </si>
  <si>
    <t>Rtf [pu]</t>
    <phoneticPr fontId="1" type="noConversion"/>
  </si>
  <si>
    <t>Xtf [pu]</t>
    <phoneticPr fontId="1" type="noConversion"/>
  </si>
  <si>
    <t>Bf [pu]</t>
    <phoneticPr fontId="1" type="noConversion"/>
  </si>
  <si>
    <t>Rc [pu]</t>
    <phoneticPr fontId="1" type="noConversion"/>
  </si>
  <si>
    <t>Xc [pu]</t>
    <phoneticPr fontId="1" type="noConversion"/>
  </si>
  <si>
    <t>LossA</t>
    <phoneticPr fontId="1" type="noConversion"/>
  </si>
  <si>
    <t>LossB</t>
    <phoneticPr fontId="1" type="noConversion"/>
  </si>
  <si>
    <t>LossC rec</t>
    <phoneticPr fontId="1" type="noConversion"/>
  </si>
  <si>
    <t>LossC inv</t>
    <phoneticPr fontId="1" type="noConversion"/>
  </si>
  <si>
    <t>freq_deadband(±) [Hz]</t>
    <phoneticPr fontId="1" type="noConversion"/>
  </si>
  <si>
    <t>|V| deadband (±) [pu]</t>
    <phoneticPr fontId="1" type="noConversion"/>
  </si>
  <si>
    <t>Local Sbase
[MVA]</t>
    <phoneticPr fontId="1" type="noConversion"/>
  </si>
  <si>
    <t>|V| deadband
(±) [pu]</t>
    <phoneticPr fontId="1" type="noConversion"/>
  </si>
  <si>
    <t>3w trans #</t>
    <phoneticPr fontId="1" type="noConversion"/>
  </si>
  <si>
    <t>Bus 1</t>
    <phoneticPr fontId="1" type="noConversion"/>
  </si>
  <si>
    <t>Bus 2</t>
    <phoneticPr fontId="1" type="noConversion"/>
  </si>
  <si>
    <t>Bus 3</t>
    <phoneticPr fontId="1" type="noConversion"/>
  </si>
  <si>
    <t>status (0/1)</t>
    <phoneticPr fontId="1" type="noConversion"/>
  </si>
  <si>
    <t>Vn1 [kV]</t>
    <phoneticPr fontId="1" type="noConversion"/>
  </si>
  <si>
    <t>Vn2 [kV]</t>
    <phoneticPr fontId="1" type="noConversion"/>
  </si>
  <si>
    <t>Vn3 [kV]</t>
    <phoneticPr fontId="1" type="noConversion"/>
  </si>
  <si>
    <t>Sn1 [MVA]</t>
    <phoneticPr fontId="1" type="noConversion"/>
  </si>
  <si>
    <t>Sn2 [MVA]</t>
    <phoneticPr fontId="1" type="noConversion"/>
  </si>
  <si>
    <t>Sn3 [MVA]</t>
    <phoneticPr fontId="1" type="noConversion"/>
  </si>
  <si>
    <t>r12</t>
    <phoneticPr fontId="1" type="noConversion"/>
  </si>
  <si>
    <t>r23</t>
    <phoneticPr fontId="1" type="noConversion"/>
  </si>
  <si>
    <t>r31</t>
    <phoneticPr fontId="1" type="noConversion"/>
  </si>
  <si>
    <t>x12</t>
    <phoneticPr fontId="1" type="noConversion"/>
  </si>
  <si>
    <t>x23</t>
    <phoneticPr fontId="1" type="noConversion"/>
  </si>
  <si>
    <t>x31</t>
    <phoneticPr fontId="1" type="noConversion"/>
  </si>
  <si>
    <t>vk12 [%]</t>
    <phoneticPr fontId="1" type="noConversion"/>
  </si>
  <si>
    <t>vk23 [%]</t>
    <phoneticPr fontId="1" type="noConversion"/>
  </si>
  <si>
    <t>vk31 [%]</t>
    <phoneticPr fontId="1" type="noConversion"/>
  </si>
  <si>
    <t>vkr12 [%]</t>
    <phoneticPr fontId="1" type="noConversion"/>
  </si>
  <si>
    <t>vkr23 [%]</t>
    <phoneticPr fontId="1" type="noConversion"/>
  </si>
  <si>
    <t>vkr31 [%]</t>
    <phoneticPr fontId="1" type="noConversion"/>
  </si>
  <si>
    <t>tap side</t>
    <phoneticPr fontId="1" type="noConversion"/>
  </si>
  <si>
    <t>tap ratio</t>
    <phoneticPr fontId="1" type="noConversion"/>
  </si>
  <si>
    <t>shift_deg MV [degree]</t>
    <phoneticPr fontId="1" type="noConversion"/>
  </si>
  <si>
    <t>shift_deg LV [degree]</t>
    <phoneticPr fontId="1" type="noConversion"/>
  </si>
  <si>
    <t>pfe [kW]</t>
    <phoneticPr fontId="1" type="noConversion"/>
  </si>
  <si>
    <t>i0 [%]</t>
    <phoneticPr fontId="1" type="noConversion"/>
  </si>
  <si>
    <t>winding map</t>
    <phoneticPr fontId="1" type="noConversion"/>
  </si>
  <si>
    <t>AC Transformer
status (0/1)</t>
    <phoneticPr fontId="1" type="noConversion"/>
  </si>
  <si>
    <t>Gs[MW]</t>
    <phoneticPr fontId="1" type="noConversion"/>
  </si>
  <si>
    <t>Bs[Mvar]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</si>
</sst>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"/>
    <numFmt numFmtId="177" formatCode="0.0000_ "/>
    <numFmt numFmtId="178" formatCode="0.0_);[Red]\(0.0\)"/>
  </numFmts>
  <fonts count="5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  <scheme val="minor"/>
    </font>
    <font>
      <sz val="12"/>
      <color rgb="FFFF0000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11" fontId="0" fillId="0" borderId="1" xfId="0" applyNumberForma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3" fillId="0" borderId="0" xfId="0" applyFo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8" fontId="0" fillId="0" borderId="0" xfId="0" applyNumberFormat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676275</xdr:colOff>
      <xdr:row>8</xdr:row>
      <xdr:rowOff>95250</xdr:rowOff>
    </xdr:from>
    <xdr:to>
      <xdr:col>8</xdr:col>
      <xdr:colOff>714375</xdr:colOff>
      <xdr:row>17</xdr:row>
      <xdr:rowOff>85725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377B67F4-9EA5-B92D-2E44-9B7980F75FC4}"/>
            </a:ext>
          </a:extLst>
        </xdr:cNvPr>
        <xdr:cNvSpPr/>
      </xdr:nvSpPr>
      <xdr:spPr>
        <a:xfrm>
          <a:off x="4019550" y="2505075"/>
          <a:ext cx="7781925" cy="19621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기존과 개선된 상추</a:t>
          </a:r>
          <a:r>
            <a:rPr lang="ko-KR" altLang="en-US" sz="1100" baseline="0"/>
            <a:t> 주파수 추종 차이를 부각시키기 위해서는 개선된 부분을 강조할 수 있는 상황을 만들어줘야 함</a:t>
          </a:r>
          <a:r>
            <a:rPr lang="en-US" altLang="ko-KR" sz="1100" baseline="0"/>
            <a:t>.</a:t>
          </a:r>
        </a:p>
        <a:p>
          <a:pPr algn="ctr"/>
          <a:r>
            <a:rPr lang="en-US" altLang="ko-KR" sz="1100" baseline="0"/>
            <a:t>1. noise, missing </a:t>
          </a:r>
          <a:r>
            <a:rPr lang="ko-KR" altLang="en-US" sz="1100" baseline="0"/>
            <a:t>추가 </a:t>
          </a:r>
          <a:r>
            <a:rPr lang="en-US" altLang="ko-KR" sz="1100" baseline="0"/>
            <a:t>--&gt; </a:t>
          </a:r>
          <a:r>
            <a:rPr lang="ko-KR" altLang="en-US" sz="1100" baseline="0"/>
            <a:t>직접 측정을 하는 기존 대신 계산을 할 수 있는 내 코드가 강점이 생김</a:t>
          </a:r>
          <a:r>
            <a:rPr lang="en-US" altLang="ko-KR" sz="1100" baseline="0"/>
            <a:t>.</a:t>
          </a:r>
        </a:p>
        <a:p>
          <a:pPr algn="ctr"/>
          <a:r>
            <a:rPr lang="en-US" altLang="ko-KR" sz="1100" baseline="0"/>
            <a:t>2. </a:t>
          </a:r>
          <a:r>
            <a:rPr lang="ko-KR" altLang="en-US" sz="1100" baseline="0"/>
            <a:t>국소적인 부하 변동 주기 </a:t>
          </a:r>
          <a:r>
            <a:rPr lang="en-US" altLang="ko-KR" sz="1100" baseline="0"/>
            <a:t>--&gt; 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Gen - Load</a:t>
          </a:r>
          <a:r>
            <a:rPr lang="ko-KR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를 쓰는 </a:t>
          </a:r>
          <a:r>
            <a:rPr lang="ko-KR" alt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내거 대신</a:t>
          </a:r>
          <a:r>
            <a:rPr lang="en-US" altLang="ko-KR" sz="1100" baseline="0"/>
            <a:t> Ybus</a:t>
          </a:r>
          <a:r>
            <a:rPr lang="ko-KR" altLang="en-US" sz="1100" baseline="0"/>
            <a:t>를 통한 계산을 하는 기존은 연쇄 반응을 일으켜 정확도가 떨어짐</a:t>
          </a:r>
          <a:endParaRPr lang="en-US" altLang="ko-KR" sz="1100" baseline="0"/>
        </a:p>
        <a:p>
          <a:pPr algn="ctr"/>
          <a:r>
            <a:rPr lang="en-US" altLang="ko-KR" sz="1100" baseline="0"/>
            <a:t>3. AC droop</a:t>
          </a:r>
          <a:r>
            <a:rPr lang="ko-KR" altLang="en-US" sz="1100" baseline="0"/>
            <a:t>과 </a:t>
          </a:r>
          <a:r>
            <a:rPr lang="en-US" altLang="ko-KR" sz="1100" baseline="0"/>
            <a:t>Load frequency sensitivity </a:t>
          </a:r>
          <a:r>
            <a:rPr lang="ko-KR" altLang="en-US" sz="1100" baseline="0"/>
            <a:t>더 강하게 </a:t>
          </a:r>
          <a:r>
            <a:rPr lang="en-US" altLang="ko-KR" sz="1100" baseline="0"/>
            <a:t>--&gt; injection</a:t>
          </a:r>
          <a:r>
            <a:rPr lang="ko-KR" altLang="en-US" sz="1100" baseline="0"/>
            <a:t>을 측정값으로 쓰는 기존은 내부 물리구조를 따라갈 수가 없음</a:t>
          </a:r>
          <a:endParaRPr lang="en-US" altLang="ko-KR" sz="1100" baseline="0"/>
        </a:p>
        <a:p>
          <a:pPr algn="ctr"/>
          <a:r>
            <a:rPr lang="en-US" altLang="ko-KR" sz="1100" baseline="0"/>
            <a:t>4. Droop </a:t>
          </a:r>
          <a:r>
            <a:rPr lang="ko-KR" altLang="en-US" sz="1100" baseline="0"/>
            <a:t>계수 조절을 통해 </a:t>
          </a:r>
          <a:r>
            <a:rPr lang="en-US" altLang="ko-KR" sz="1100" baseline="0"/>
            <a:t>IC</a:t>
          </a:r>
          <a:r>
            <a:rPr lang="ko-KR" altLang="en-US" sz="1100" baseline="0"/>
            <a:t>의 </a:t>
          </a:r>
          <a:r>
            <a:rPr lang="en-US" altLang="ko-KR" sz="1100" baseline="0"/>
            <a:t>active power</a:t>
          </a:r>
          <a:r>
            <a:rPr lang="ko-KR" altLang="en-US" sz="1100" baseline="0"/>
            <a:t>가 주파수가 아닌 </a:t>
          </a:r>
          <a:r>
            <a:rPr lang="en-US" altLang="ko-KR" sz="1100" baseline="0"/>
            <a:t>Vdc</a:t>
          </a:r>
          <a:r>
            <a:rPr lang="ko-KR" altLang="en-US" sz="1100" baseline="0"/>
            <a:t>에 더 의존하도록 설계 </a:t>
          </a:r>
          <a:r>
            <a:rPr lang="en-US" altLang="ko-KR" sz="1100" baseline="0"/>
            <a:t>--&gt; fP</a:t>
          </a:r>
          <a:r>
            <a:rPr lang="ko-KR" altLang="en-US" sz="1100" baseline="0"/>
            <a:t>를 더 작고 </a:t>
          </a:r>
          <a:r>
            <a:rPr lang="en-US" altLang="ko-KR" sz="1100" baseline="0"/>
            <a:t>Vm</a:t>
          </a:r>
          <a:r>
            <a:rPr lang="ko-KR" altLang="en-US" sz="1100" baseline="0"/>
            <a:t>을 더 크게해서 </a:t>
          </a:r>
          <a:r>
            <a:rPr lang="en-US" altLang="ko-KR" sz="1100" baseline="0"/>
            <a:t>IC P</a:t>
          </a:r>
          <a:r>
            <a:rPr lang="ko-KR" altLang="en-US" sz="1100" baseline="0"/>
            <a:t>를 통해 주파수를 알아내는 힘을 줄이기 </a:t>
          </a:r>
          <a:endParaRPr lang="ko-KR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0CF80-1075-DD4A-A346-85221BD6BACF}">
  <dimension ref="A1:A2"/>
  <sheetViews>
    <sheetView workbookViewId="0">
      <selection activeCell="B24" sqref="B24"/>
    </sheetView>
  </sheetViews>
  <sheetFormatPr baseColWidth="10" defaultColWidth="10.7109375" defaultRowHeight="18"/>
  <cols>
    <col min="1" max="1" width="45.85546875" style="1" bestFit="1" customWidth="1"/>
    <col min="2" max="16384" width="10.7109375" style="1"/>
  </cols>
  <sheetData>
    <row r="1" spans="1:1">
      <c r="A1" s="8" t="s">
        <v>25</v>
      </c>
    </row>
    <row r="2" spans="1:1">
      <c r="A2" s="1"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94573-8ABB-E147-9E3D-0F68B15DD303}">
  <dimension ref="A1:Q39"/>
  <sheetViews>
    <sheetView zoomScaleNormal="100" workbookViewId="0">
      <selection activeCell="P4" sqref="P4"/>
    </sheetView>
  </sheetViews>
  <sheetFormatPr baseColWidth="10" defaultColWidth="10.7109375" defaultRowHeight="18"/>
  <cols>
    <col min="1" max="1" width="4.42578125" style="1" bestFit="1" customWidth="1"/>
    <col min="2" max="2" width="7.85546875" style="1" bestFit="1" customWidth="1"/>
    <col min="3" max="3" width="10" style="1" bestFit="1" customWidth="1"/>
    <col min="4" max="5" width="4.42578125" style="19" customWidth="1"/>
    <col min="6" max="6" width="3.85546875" style="19" customWidth="1"/>
    <col min="7" max="7" width="4.42578125" style="1" customWidth="1"/>
    <col min="8" max="9" width="5.5703125" style="1" customWidth="1"/>
    <col min="10" max="10" width="10.7109375" style="1"/>
    <col min="11" max="11" width="11" style="1" customWidth="1"/>
    <col min="12" max="16384" width="10.7109375" style="1"/>
  </cols>
  <sheetData>
    <row r="1" spans="1:17" ht="19">
      <c r="A1" s="3" t="s">
        <v>0</v>
      </c>
      <c r="B1" s="3" t="s">
        <v>114</v>
      </c>
      <c r="C1" s="3" t="s">
        <v>115</v>
      </c>
      <c r="D1" s="4" t="s">
        <v>7</v>
      </c>
      <c r="E1" s="4" t="s">
        <v>8</v>
      </c>
      <c r="F1" s="4" t="s">
        <v>9</v>
      </c>
      <c r="G1" s="4" t="s">
        <v>10</v>
      </c>
      <c r="H1" s="4" t="s">
        <v>11</v>
      </c>
      <c r="I1" s="4" t="s">
        <v>12</v>
      </c>
      <c r="J1" s="4" t="s">
        <v>13</v>
      </c>
      <c r="K1" s="4" t="s">
        <v>14</v>
      </c>
      <c r="L1" s="4" t="s">
        <v>26</v>
      </c>
      <c r="M1" s="4" t="s">
        <v>41</v>
      </c>
      <c r="N1" s="4" t="s">
        <v>27</v>
      </c>
      <c r="O1" s="3" t="s">
        <v>46</v>
      </c>
      <c r="P1" s="3" t="s">
        <v>47</v>
      </c>
      <c r="Q1" s="3" t="s">
        <v>69</v>
      </c>
    </row>
    <row r="2" spans="1:17">
      <c r="A2" s="2">
        <v>1</v>
      </c>
      <c r="B2" s="2">
        <v>0</v>
      </c>
      <c r="C2" s="2">
        <v>0</v>
      </c>
      <c r="D2" s="18">
        <v>1.583911753431E-3</v>
      </c>
      <c r="E2" s="18">
        <v>0.91685561547783101</v>
      </c>
      <c r="F2" s="18">
        <v>8.1560472768737999E-2</v>
      </c>
      <c r="G2" s="2">
        <v>1</v>
      </c>
      <c r="H2" s="2">
        <v>0</v>
      </c>
      <c r="I2" s="2">
        <v>0</v>
      </c>
      <c r="J2" s="2">
        <v>1</v>
      </c>
      <c r="K2" s="2">
        <v>-1</v>
      </c>
      <c r="L2" s="2">
        <v>1</v>
      </c>
      <c r="M2" s="2">
        <v>0</v>
      </c>
      <c r="N2" s="2">
        <v>12670</v>
      </c>
      <c r="O2" s="2">
        <v>0.95</v>
      </c>
      <c r="P2" s="2">
        <v>1.05</v>
      </c>
      <c r="Q2" s="2">
        <v>1</v>
      </c>
    </row>
    <row r="3" spans="1:17">
      <c r="A3" s="2">
        <v>2</v>
      </c>
      <c r="B3" s="2">
        <v>0</v>
      </c>
      <c r="C3" s="2">
        <v>0</v>
      </c>
      <c r="D3" s="18">
        <v>1.583911753431E-3</v>
      </c>
      <c r="E3" s="18">
        <v>0.91685561547783101</v>
      </c>
      <c r="F3" s="18">
        <v>8.1560472768737999E-2</v>
      </c>
      <c r="G3" s="2">
        <v>1</v>
      </c>
      <c r="H3" s="2">
        <v>0</v>
      </c>
      <c r="I3" s="2">
        <v>0</v>
      </c>
      <c r="J3" s="2">
        <v>1</v>
      </c>
      <c r="K3" s="2">
        <v>-1</v>
      </c>
      <c r="L3" s="2">
        <v>1</v>
      </c>
      <c r="M3" s="2">
        <v>0</v>
      </c>
      <c r="N3" s="2">
        <v>12670</v>
      </c>
      <c r="O3" s="2">
        <v>0.95</v>
      </c>
      <c r="P3" s="2">
        <v>1.05</v>
      </c>
      <c r="Q3" s="2">
        <v>1</v>
      </c>
    </row>
    <row r="4" spans="1:17">
      <c r="A4" s="2">
        <v>3</v>
      </c>
      <c r="B4" s="2">
        <v>0</v>
      </c>
      <c r="C4" s="2">
        <v>0</v>
      </c>
      <c r="D4" s="18">
        <v>1.91613825802494E-4</v>
      </c>
      <c r="E4" s="18">
        <v>0.179696557305106</v>
      </c>
      <c r="F4" s="18">
        <v>0.82011182886909195</v>
      </c>
      <c r="G4" s="2">
        <v>1</v>
      </c>
      <c r="H4" s="2">
        <v>0</v>
      </c>
      <c r="I4" s="2">
        <v>0</v>
      </c>
      <c r="J4" s="2">
        <v>1</v>
      </c>
      <c r="K4" s="2">
        <v>-1</v>
      </c>
      <c r="L4" s="2">
        <v>1</v>
      </c>
      <c r="M4" s="2">
        <v>0</v>
      </c>
      <c r="N4" s="2">
        <v>12670</v>
      </c>
      <c r="O4" s="2">
        <v>0.95</v>
      </c>
      <c r="P4" s="2">
        <v>1.05</v>
      </c>
      <c r="Q4" s="2">
        <v>1</v>
      </c>
    </row>
    <row r="5" spans="1:17">
      <c r="A5" s="2">
        <v>4</v>
      </c>
      <c r="B5" s="2">
        <v>0</v>
      </c>
      <c r="C5" s="2">
        <v>0</v>
      </c>
      <c r="D5" s="18">
        <v>0.51125548327787596</v>
      </c>
      <c r="E5" s="18">
        <v>0.48715252528200798</v>
      </c>
      <c r="F5" s="18">
        <v>1.5919914401159999E-3</v>
      </c>
      <c r="G5" s="2">
        <v>1</v>
      </c>
      <c r="H5" s="2">
        <v>0</v>
      </c>
      <c r="I5" s="2">
        <v>0</v>
      </c>
      <c r="J5" s="2">
        <v>1</v>
      </c>
      <c r="K5" s="2">
        <v>-1</v>
      </c>
      <c r="L5" s="2">
        <v>1</v>
      </c>
      <c r="M5" s="2">
        <v>0</v>
      </c>
      <c r="N5" s="2">
        <v>12670</v>
      </c>
      <c r="O5" s="2">
        <v>0.95</v>
      </c>
      <c r="P5" s="2">
        <v>1.05</v>
      </c>
      <c r="Q5" s="2">
        <v>1</v>
      </c>
    </row>
    <row r="6" spans="1:17">
      <c r="A6" s="2">
        <v>5</v>
      </c>
      <c r="B6" s="2">
        <v>0</v>
      </c>
      <c r="C6" s="2">
        <v>0</v>
      </c>
      <c r="D6" s="18">
        <v>1.583911753431E-3</v>
      </c>
      <c r="E6" s="18">
        <v>0.91685561547783101</v>
      </c>
      <c r="F6" s="18">
        <v>8.1560472768737999E-2</v>
      </c>
      <c r="G6" s="2">
        <v>1</v>
      </c>
      <c r="H6" s="2">
        <v>0</v>
      </c>
      <c r="I6" s="2">
        <v>0</v>
      </c>
      <c r="J6" s="2">
        <v>1</v>
      </c>
      <c r="K6" s="2">
        <v>-1</v>
      </c>
      <c r="L6" s="2">
        <v>1</v>
      </c>
      <c r="M6" s="2">
        <v>0</v>
      </c>
      <c r="N6" s="2">
        <v>12670</v>
      </c>
      <c r="O6" s="2">
        <v>0.95</v>
      </c>
      <c r="P6" s="2">
        <v>1.05</v>
      </c>
      <c r="Q6" s="2">
        <v>1</v>
      </c>
    </row>
    <row r="7" spans="1:17">
      <c r="A7" s="2">
        <v>6</v>
      </c>
      <c r="B7" s="2">
        <v>0</v>
      </c>
      <c r="C7" s="2">
        <v>0</v>
      </c>
      <c r="D7" s="18">
        <v>1.91613825802494E-4</v>
      </c>
      <c r="E7" s="18">
        <v>0.179696557305106</v>
      </c>
      <c r="F7" s="18">
        <v>0.82011182886909195</v>
      </c>
      <c r="G7" s="2">
        <v>1</v>
      </c>
      <c r="H7" s="2">
        <v>0</v>
      </c>
      <c r="I7" s="2">
        <v>0</v>
      </c>
      <c r="J7" s="2">
        <v>1</v>
      </c>
      <c r="K7" s="2">
        <v>-1</v>
      </c>
      <c r="L7" s="2">
        <v>1</v>
      </c>
      <c r="M7" s="2">
        <v>0</v>
      </c>
      <c r="N7" s="2">
        <v>12670</v>
      </c>
      <c r="O7" s="2">
        <v>0.95</v>
      </c>
      <c r="P7" s="2">
        <v>1.05</v>
      </c>
      <c r="Q7" s="2">
        <v>1</v>
      </c>
    </row>
    <row r="8" spans="1:17">
      <c r="A8" s="2">
        <v>7</v>
      </c>
      <c r="B8" s="2">
        <v>0</v>
      </c>
      <c r="C8" s="2">
        <v>0</v>
      </c>
      <c r="D8" s="18">
        <v>0.51125548327787596</v>
      </c>
      <c r="E8" s="18">
        <v>0.48715252528200798</v>
      </c>
      <c r="F8" s="18">
        <v>1.5919914401159999E-3</v>
      </c>
      <c r="G8" s="2">
        <v>1</v>
      </c>
      <c r="H8" s="2">
        <v>0</v>
      </c>
      <c r="I8" s="2">
        <v>0</v>
      </c>
      <c r="J8" s="2">
        <v>1</v>
      </c>
      <c r="K8" s="2">
        <v>-1</v>
      </c>
      <c r="L8" s="2">
        <v>1</v>
      </c>
      <c r="M8" s="2">
        <v>0</v>
      </c>
      <c r="N8" s="2">
        <v>12670</v>
      </c>
      <c r="O8" s="2">
        <v>0.95</v>
      </c>
      <c r="P8" s="2">
        <v>1.05</v>
      </c>
      <c r="Q8" s="2">
        <v>1</v>
      </c>
    </row>
    <row r="9" spans="1:17">
      <c r="A9" s="2">
        <v>8</v>
      </c>
      <c r="B9" s="2">
        <v>0</v>
      </c>
      <c r="C9" s="2">
        <v>0</v>
      </c>
      <c r="D9" s="18">
        <v>0.51125548327787596</v>
      </c>
      <c r="E9" s="18">
        <v>0.48715252528200798</v>
      </c>
      <c r="F9" s="18">
        <v>1.5919914401159999E-3</v>
      </c>
      <c r="G9" s="2">
        <v>1</v>
      </c>
      <c r="H9" s="2">
        <v>0</v>
      </c>
      <c r="I9" s="2">
        <v>0</v>
      </c>
      <c r="J9" s="2">
        <v>1</v>
      </c>
      <c r="K9" s="2">
        <v>-1</v>
      </c>
      <c r="L9" s="2">
        <v>1</v>
      </c>
      <c r="M9" s="2">
        <v>0</v>
      </c>
      <c r="N9" s="2">
        <v>12670</v>
      </c>
      <c r="O9" s="2">
        <v>0.95</v>
      </c>
      <c r="P9" s="2">
        <v>1.05</v>
      </c>
      <c r="Q9" s="2">
        <v>1</v>
      </c>
    </row>
    <row r="10" spans="1:17">
      <c r="A10" s="2">
        <v>9</v>
      </c>
      <c r="B10" s="2">
        <v>0</v>
      </c>
      <c r="C10" s="2">
        <v>0</v>
      </c>
      <c r="D10" s="18">
        <v>1.91613825802494E-4</v>
      </c>
      <c r="E10" s="18">
        <v>0.179696557305106</v>
      </c>
      <c r="F10" s="18">
        <v>0.82011182886909195</v>
      </c>
      <c r="G10" s="2">
        <v>1</v>
      </c>
      <c r="H10" s="2">
        <v>0</v>
      </c>
      <c r="I10" s="2">
        <v>0</v>
      </c>
      <c r="J10" s="2">
        <v>1</v>
      </c>
      <c r="K10" s="2">
        <v>-1</v>
      </c>
      <c r="L10" s="2">
        <v>1</v>
      </c>
      <c r="M10" s="2">
        <v>0</v>
      </c>
      <c r="N10" s="2">
        <v>12670</v>
      </c>
      <c r="O10" s="2">
        <v>0.95</v>
      </c>
      <c r="P10" s="2">
        <v>1.05</v>
      </c>
      <c r="Q10" s="2">
        <v>1</v>
      </c>
    </row>
    <row r="11" spans="1:17">
      <c r="A11" s="2">
        <v>10</v>
      </c>
      <c r="B11" s="2">
        <v>0</v>
      </c>
      <c r="C11" s="2">
        <v>0</v>
      </c>
      <c r="D11" s="18">
        <v>0.51125548327787596</v>
      </c>
      <c r="E11" s="18">
        <v>0.48715252528200798</v>
      </c>
      <c r="F11" s="18">
        <v>1.5919914401159999E-3</v>
      </c>
      <c r="G11" s="2">
        <v>1</v>
      </c>
      <c r="H11" s="2">
        <v>0</v>
      </c>
      <c r="I11" s="2">
        <v>0</v>
      </c>
      <c r="J11" s="2">
        <v>1</v>
      </c>
      <c r="K11" s="2">
        <v>-1</v>
      </c>
      <c r="L11" s="2">
        <v>1</v>
      </c>
      <c r="M11" s="2">
        <v>0</v>
      </c>
      <c r="N11" s="2">
        <v>12670</v>
      </c>
      <c r="O11" s="2">
        <v>0.95</v>
      </c>
      <c r="P11" s="2">
        <v>1.05</v>
      </c>
      <c r="Q11" s="2">
        <v>1</v>
      </c>
    </row>
    <row r="12" spans="1:17">
      <c r="A12" s="2">
        <v>11</v>
      </c>
      <c r="B12" s="2">
        <v>0</v>
      </c>
      <c r="C12" s="2">
        <v>0</v>
      </c>
      <c r="D12" s="18">
        <v>0.51125548327787596</v>
      </c>
      <c r="E12" s="18">
        <v>0.48715252528200798</v>
      </c>
      <c r="F12" s="18">
        <v>1.5919914401159999E-3</v>
      </c>
      <c r="G12" s="2">
        <v>1</v>
      </c>
      <c r="H12" s="2">
        <v>0</v>
      </c>
      <c r="I12" s="2">
        <v>0</v>
      </c>
      <c r="J12" s="2">
        <v>1</v>
      </c>
      <c r="K12" s="2">
        <v>-1</v>
      </c>
      <c r="L12" s="2">
        <v>1</v>
      </c>
      <c r="M12" s="2">
        <v>0</v>
      </c>
      <c r="N12" s="2">
        <v>12670</v>
      </c>
      <c r="O12" s="2">
        <v>0.95</v>
      </c>
      <c r="P12" s="2">
        <v>1.05</v>
      </c>
      <c r="Q12" s="2">
        <v>1</v>
      </c>
    </row>
    <row r="13" spans="1:17">
      <c r="A13" s="2">
        <v>12</v>
      </c>
      <c r="B13" s="2">
        <v>0</v>
      </c>
      <c r="C13" s="2">
        <v>0</v>
      </c>
      <c r="D13" s="18">
        <v>1.583911753431E-3</v>
      </c>
      <c r="E13" s="18">
        <v>0.91685561547783101</v>
      </c>
      <c r="F13" s="18">
        <v>8.1560472768737999E-2</v>
      </c>
      <c r="G13" s="2">
        <v>1</v>
      </c>
      <c r="H13" s="2">
        <v>0</v>
      </c>
      <c r="I13" s="2">
        <v>0</v>
      </c>
      <c r="J13" s="2">
        <v>1</v>
      </c>
      <c r="K13" s="2">
        <v>-1</v>
      </c>
      <c r="L13" s="2">
        <v>1</v>
      </c>
      <c r="M13" s="2">
        <v>0</v>
      </c>
      <c r="N13" s="2">
        <v>12670</v>
      </c>
      <c r="O13" s="2">
        <v>0.95</v>
      </c>
      <c r="P13" s="2">
        <v>1.05</v>
      </c>
      <c r="Q13" s="2">
        <v>1</v>
      </c>
    </row>
    <row r="14" spans="1:17">
      <c r="A14" s="2">
        <v>13</v>
      </c>
      <c r="B14" s="2">
        <v>0</v>
      </c>
      <c r="C14" s="2">
        <v>0</v>
      </c>
      <c r="D14" s="18">
        <v>0.51125548327787596</v>
      </c>
      <c r="E14" s="18">
        <v>0.48715252528200798</v>
      </c>
      <c r="F14" s="18">
        <v>1.5919914401159999E-3</v>
      </c>
      <c r="G14" s="2">
        <v>1</v>
      </c>
      <c r="H14" s="2">
        <v>0</v>
      </c>
      <c r="I14" s="2">
        <v>0</v>
      </c>
      <c r="J14" s="2">
        <v>1</v>
      </c>
      <c r="K14" s="2">
        <v>-1</v>
      </c>
      <c r="L14" s="2">
        <v>1</v>
      </c>
      <c r="M14" s="2">
        <v>0</v>
      </c>
      <c r="N14" s="2">
        <v>12670</v>
      </c>
      <c r="O14" s="2">
        <v>0.95</v>
      </c>
      <c r="P14" s="2">
        <v>1.05</v>
      </c>
      <c r="Q14" s="2">
        <v>1</v>
      </c>
    </row>
    <row r="15" spans="1:17">
      <c r="A15" s="2">
        <v>14</v>
      </c>
      <c r="B15" s="2">
        <v>0</v>
      </c>
      <c r="C15" s="2">
        <v>0</v>
      </c>
      <c r="D15" s="18">
        <v>1.583911753431E-3</v>
      </c>
      <c r="E15" s="18">
        <v>0.91685561547783101</v>
      </c>
      <c r="F15" s="18">
        <v>8.1560472768737999E-2</v>
      </c>
      <c r="G15" s="2">
        <v>1</v>
      </c>
      <c r="H15" s="2">
        <v>0</v>
      </c>
      <c r="I15" s="2">
        <v>0</v>
      </c>
      <c r="J15" s="2">
        <v>1</v>
      </c>
      <c r="K15" s="2">
        <v>-1</v>
      </c>
      <c r="L15" s="2">
        <v>1</v>
      </c>
      <c r="M15" s="2">
        <v>0</v>
      </c>
      <c r="N15" s="2">
        <v>12670</v>
      </c>
      <c r="O15" s="2">
        <v>0.95</v>
      </c>
      <c r="P15" s="2">
        <v>1.05</v>
      </c>
      <c r="Q15" s="2">
        <v>1</v>
      </c>
    </row>
    <row r="16" spans="1:17">
      <c r="A16" s="2">
        <v>15</v>
      </c>
      <c r="B16" s="2">
        <v>0</v>
      </c>
      <c r="C16" s="2">
        <v>0</v>
      </c>
      <c r="D16" s="18">
        <v>0.51125548327787596</v>
      </c>
      <c r="E16" s="18">
        <v>0.48715252528200798</v>
      </c>
      <c r="F16" s="18">
        <v>1.5919914401159999E-3</v>
      </c>
      <c r="G16" s="2">
        <v>1</v>
      </c>
      <c r="H16" s="2">
        <v>0</v>
      </c>
      <c r="I16" s="2">
        <v>0</v>
      </c>
      <c r="J16" s="2">
        <v>1</v>
      </c>
      <c r="K16" s="2">
        <v>-1</v>
      </c>
      <c r="L16" s="2">
        <v>1</v>
      </c>
      <c r="M16" s="2">
        <v>0</v>
      </c>
      <c r="N16" s="2">
        <v>12670</v>
      </c>
      <c r="O16" s="2">
        <v>0.95</v>
      </c>
      <c r="P16" s="2">
        <v>1.05</v>
      </c>
      <c r="Q16" s="2">
        <v>1</v>
      </c>
    </row>
    <row r="17" spans="1:17">
      <c r="A17" s="2">
        <v>16</v>
      </c>
      <c r="B17" s="2">
        <v>0</v>
      </c>
      <c r="C17" s="2">
        <v>0</v>
      </c>
      <c r="D17" s="18">
        <v>1.91613825802494E-4</v>
      </c>
      <c r="E17" s="18">
        <v>0.179696557305106</v>
      </c>
      <c r="F17" s="18">
        <v>0.82011182886909195</v>
      </c>
      <c r="G17" s="2">
        <v>1</v>
      </c>
      <c r="H17" s="2">
        <v>0</v>
      </c>
      <c r="I17" s="2">
        <v>0</v>
      </c>
      <c r="J17" s="2">
        <v>1</v>
      </c>
      <c r="K17" s="2">
        <v>-1</v>
      </c>
      <c r="L17" s="2">
        <v>1</v>
      </c>
      <c r="M17" s="2">
        <v>0</v>
      </c>
      <c r="N17" s="2">
        <v>12670</v>
      </c>
      <c r="O17" s="2">
        <v>0.95</v>
      </c>
      <c r="P17" s="2">
        <v>1.05</v>
      </c>
      <c r="Q17" s="2">
        <v>1</v>
      </c>
    </row>
    <row r="18" spans="1:17">
      <c r="A18" s="2">
        <v>17</v>
      </c>
      <c r="B18" s="2">
        <v>0</v>
      </c>
      <c r="C18" s="2">
        <v>0</v>
      </c>
      <c r="D18" s="18">
        <v>0.51125548327787596</v>
      </c>
      <c r="E18" s="18">
        <v>0.48715252528200798</v>
      </c>
      <c r="F18" s="18">
        <v>1.5919914401159999E-3</v>
      </c>
      <c r="G18" s="2">
        <v>1</v>
      </c>
      <c r="H18" s="2">
        <v>0</v>
      </c>
      <c r="I18" s="2">
        <v>0</v>
      </c>
      <c r="J18" s="2">
        <v>1</v>
      </c>
      <c r="K18" s="2">
        <v>-1</v>
      </c>
      <c r="L18" s="2">
        <v>1</v>
      </c>
      <c r="M18" s="2">
        <v>0</v>
      </c>
      <c r="N18" s="2">
        <v>12670</v>
      </c>
      <c r="O18" s="2">
        <v>0.95</v>
      </c>
      <c r="P18" s="2">
        <v>1.05</v>
      </c>
      <c r="Q18" s="2">
        <v>1</v>
      </c>
    </row>
    <row r="19" spans="1:17">
      <c r="A19" s="2">
        <v>18</v>
      </c>
      <c r="B19" s="2">
        <v>0</v>
      </c>
      <c r="C19" s="2">
        <v>0</v>
      </c>
      <c r="D19" s="18">
        <v>1.91613825802494E-4</v>
      </c>
      <c r="E19" s="18">
        <v>0.179696557305106</v>
      </c>
      <c r="F19" s="18">
        <v>0.82011182886909195</v>
      </c>
      <c r="G19" s="2">
        <v>1</v>
      </c>
      <c r="H19" s="2">
        <v>0</v>
      </c>
      <c r="I19" s="2">
        <v>0</v>
      </c>
      <c r="J19" s="2">
        <v>1</v>
      </c>
      <c r="K19" s="2">
        <v>-1</v>
      </c>
      <c r="L19" s="2">
        <v>1</v>
      </c>
      <c r="M19" s="2">
        <v>0</v>
      </c>
      <c r="N19" s="2">
        <v>12670</v>
      </c>
      <c r="O19" s="2">
        <v>0.95</v>
      </c>
      <c r="P19" s="2">
        <v>1.05</v>
      </c>
      <c r="Q19" s="2">
        <v>1</v>
      </c>
    </row>
    <row r="20" spans="1:17">
      <c r="A20" s="2">
        <v>19</v>
      </c>
      <c r="B20" s="2">
        <v>0</v>
      </c>
      <c r="C20" s="2">
        <v>0</v>
      </c>
      <c r="D20" s="18">
        <v>1.583911753431E-3</v>
      </c>
      <c r="E20" s="18">
        <v>0.91685561547783101</v>
      </c>
      <c r="F20" s="18">
        <v>8.1560472768737999E-2</v>
      </c>
      <c r="G20" s="2">
        <v>1</v>
      </c>
      <c r="H20" s="2">
        <v>0</v>
      </c>
      <c r="I20" s="2">
        <v>0</v>
      </c>
      <c r="J20" s="2">
        <v>1</v>
      </c>
      <c r="K20" s="2">
        <v>-1</v>
      </c>
      <c r="L20" s="2">
        <v>1</v>
      </c>
      <c r="M20" s="2">
        <v>0</v>
      </c>
      <c r="N20" s="2">
        <v>12670</v>
      </c>
      <c r="O20" s="2">
        <v>0.95</v>
      </c>
      <c r="P20" s="2">
        <v>1.05</v>
      </c>
      <c r="Q20" s="2">
        <v>1</v>
      </c>
    </row>
    <row r="21" spans="1:17">
      <c r="A21" s="2">
        <v>20</v>
      </c>
      <c r="B21" s="2">
        <v>0</v>
      </c>
      <c r="C21" s="2">
        <v>0</v>
      </c>
      <c r="D21" s="18">
        <v>0.51125548327787596</v>
      </c>
      <c r="E21" s="18">
        <v>0.48715252528200798</v>
      </c>
      <c r="F21" s="18">
        <v>1.5919914401159999E-3</v>
      </c>
      <c r="G21" s="2">
        <v>1</v>
      </c>
      <c r="H21" s="2">
        <v>0</v>
      </c>
      <c r="I21" s="2">
        <v>0</v>
      </c>
      <c r="J21" s="2">
        <v>1</v>
      </c>
      <c r="K21" s="2">
        <v>-1</v>
      </c>
      <c r="L21" s="2">
        <v>1</v>
      </c>
      <c r="M21" s="2">
        <v>0</v>
      </c>
      <c r="N21" s="2">
        <v>12670</v>
      </c>
      <c r="O21" s="2">
        <v>0.95</v>
      </c>
      <c r="P21" s="2">
        <v>1.05</v>
      </c>
      <c r="Q21" s="2">
        <v>1</v>
      </c>
    </row>
    <row r="22" spans="1:17">
      <c r="A22" s="2">
        <v>21</v>
      </c>
      <c r="B22" s="2">
        <v>0</v>
      </c>
      <c r="C22" s="2">
        <v>0</v>
      </c>
      <c r="D22" s="18">
        <v>1.91613825802494E-4</v>
      </c>
      <c r="E22" s="18">
        <v>0.179696557305106</v>
      </c>
      <c r="F22" s="18">
        <v>0.82011182886909195</v>
      </c>
      <c r="G22" s="2">
        <v>1</v>
      </c>
      <c r="H22" s="2">
        <v>0</v>
      </c>
      <c r="I22" s="2">
        <v>0</v>
      </c>
      <c r="J22" s="2">
        <v>1</v>
      </c>
      <c r="K22" s="2">
        <v>-1</v>
      </c>
      <c r="L22" s="2">
        <v>1</v>
      </c>
      <c r="M22" s="2">
        <v>0</v>
      </c>
      <c r="N22" s="2">
        <v>12670</v>
      </c>
      <c r="O22" s="2">
        <v>0.95</v>
      </c>
      <c r="P22" s="2">
        <v>1.05</v>
      </c>
      <c r="Q22" s="2">
        <v>1</v>
      </c>
    </row>
    <row r="23" spans="1:17">
      <c r="A23" s="2">
        <v>22</v>
      </c>
      <c r="B23" s="2">
        <v>0</v>
      </c>
      <c r="C23" s="2">
        <v>0</v>
      </c>
      <c r="D23" s="18">
        <v>1.583911753431E-3</v>
      </c>
      <c r="E23" s="18">
        <v>0.91685561547783101</v>
      </c>
      <c r="F23" s="18">
        <v>8.1560472768737999E-2</v>
      </c>
      <c r="G23" s="2">
        <v>1</v>
      </c>
      <c r="H23" s="2">
        <v>0</v>
      </c>
      <c r="I23" s="2">
        <v>0</v>
      </c>
      <c r="J23" s="2">
        <v>1</v>
      </c>
      <c r="K23" s="2">
        <v>-1</v>
      </c>
      <c r="L23" s="2">
        <v>1</v>
      </c>
      <c r="M23" s="2">
        <v>0</v>
      </c>
      <c r="N23" s="2">
        <v>12670</v>
      </c>
      <c r="O23" s="2">
        <v>0.95</v>
      </c>
      <c r="P23" s="2">
        <v>1.05</v>
      </c>
      <c r="Q23" s="2">
        <v>1</v>
      </c>
    </row>
    <row r="24" spans="1:17">
      <c r="A24" s="2">
        <v>23</v>
      </c>
      <c r="B24" s="2">
        <v>0</v>
      </c>
      <c r="C24" s="2">
        <v>0</v>
      </c>
      <c r="D24" s="18">
        <v>0.51125548327787596</v>
      </c>
      <c r="E24" s="18">
        <v>0.48715252528200798</v>
      </c>
      <c r="F24" s="18">
        <v>1.5919914401159999E-3</v>
      </c>
      <c r="G24" s="2">
        <v>1</v>
      </c>
      <c r="H24" s="2">
        <v>0</v>
      </c>
      <c r="I24" s="2">
        <v>0</v>
      </c>
      <c r="J24" s="2">
        <v>1</v>
      </c>
      <c r="K24" s="2">
        <v>-1</v>
      </c>
      <c r="L24" s="2">
        <v>1</v>
      </c>
      <c r="M24" s="2">
        <v>0</v>
      </c>
      <c r="N24" s="2">
        <v>12670</v>
      </c>
      <c r="O24" s="2">
        <v>0.95</v>
      </c>
      <c r="P24" s="2">
        <v>1.05</v>
      </c>
      <c r="Q24" s="2">
        <v>1</v>
      </c>
    </row>
    <row r="25" spans="1:17">
      <c r="A25" s="2">
        <v>24</v>
      </c>
      <c r="B25" s="2">
        <v>0</v>
      </c>
      <c r="C25" s="2">
        <v>0</v>
      </c>
      <c r="D25" s="18">
        <v>0.51125548327787596</v>
      </c>
      <c r="E25" s="18">
        <v>0.48715252528200798</v>
      </c>
      <c r="F25" s="18">
        <v>1.5919914401159999E-3</v>
      </c>
      <c r="G25" s="2">
        <v>1</v>
      </c>
      <c r="H25" s="2">
        <v>0</v>
      </c>
      <c r="I25" s="2">
        <v>0</v>
      </c>
      <c r="J25" s="2">
        <v>1</v>
      </c>
      <c r="K25" s="2">
        <v>-1</v>
      </c>
      <c r="L25" s="2">
        <v>1</v>
      </c>
      <c r="M25" s="2">
        <v>0</v>
      </c>
      <c r="N25" s="2">
        <v>12670</v>
      </c>
      <c r="O25" s="2">
        <v>0.95</v>
      </c>
      <c r="P25" s="2">
        <v>1.05</v>
      </c>
      <c r="Q25" s="2">
        <v>1</v>
      </c>
    </row>
    <row r="26" spans="1:17">
      <c r="A26" s="2">
        <v>25</v>
      </c>
      <c r="B26" s="2">
        <v>0</v>
      </c>
      <c r="C26" s="2">
        <v>0</v>
      </c>
      <c r="D26" s="18">
        <v>0.51125548327787596</v>
      </c>
      <c r="E26" s="18">
        <v>0.48715252528200798</v>
      </c>
      <c r="F26" s="18">
        <v>1.5919914401159999E-3</v>
      </c>
      <c r="G26" s="2">
        <v>1</v>
      </c>
      <c r="H26" s="2">
        <v>0</v>
      </c>
      <c r="I26" s="2">
        <v>0</v>
      </c>
      <c r="J26" s="2">
        <v>1</v>
      </c>
      <c r="K26" s="2">
        <v>-1</v>
      </c>
      <c r="L26" s="2">
        <v>1</v>
      </c>
      <c r="M26" s="2">
        <v>0</v>
      </c>
      <c r="N26" s="2">
        <v>12670</v>
      </c>
      <c r="O26" s="2">
        <v>0.95</v>
      </c>
      <c r="P26" s="2">
        <v>1.05</v>
      </c>
      <c r="Q26" s="2">
        <v>1</v>
      </c>
    </row>
    <row r="27" spans="1:17">
      <c r="A27" s="2">
        <v>26</v>
      </c>
      <c r="B27" s="2">
        <v>0</v>
      </c>
      <c r="C27" s="2">
        <v>0</v>
      </c>
      <c r="D27" s="18">
        <v>0.51125548327787596</v>
      </c>
      <c r="E27" s="18">
        <v>0.48715252528200798</v>
      </c>
      <c r="F27" s="18">
        <v>1.5919914401159999E-3</v>
      </c>
      <c r="G27" s="2">
        <v>1</v>
      </c>
      <c r="H27" s="2">
        <v>0</v>
      </c>
      <c r="I27" s="2">
        <v>0</v>
      </c>
      <c r="J27" s="2">
        <v>1</v>
      </c>
      <c r="K27" s="2">
        <v>-1</v>
      </c>
      <c r="L27" s="2">
        <v>1</v>
      </c>
      <c r="M27" s="2">
        <v>0</v>
      </c>
      <c r="N27" s="2">
        <v>12670</v>
      </c>
      <c r="O27" s="2">
        <v>0.95</v>
      </c>
      <c r="P27" s="2">
        <v>1.05</v>
      </c>
      <c r="Q27" s="2">
        <v>1</v>
      </c>
    </row>
    <row r="28" spans="1:17">
      <c r="A28" s="2">
        <v>27</v>
      </c>
      <c r="B28" s="2">
        <v>0</v>
      </c>
      <c r="C28" s="2">
        <v>0</v>
      </c>
      <c r="D28" s="18">
        <v>1.91613825802494E-4</v>
      </c>
      <c r="E28" s="18">
        <v>0.179696557305106</v>
      </c>
      <c r="F28" s="18">
        <v>0.82011182886909195</v>
      </c>
      <c r="G28" s="2">
        <v>1</v>
      </c>
      <c r="H28" s="2">
        <v>0</v>
      </c>
      <c r="I28" s="2">
        <v>0</v>
      </c>
      <c r="J28" s="2">
        <v>1</v>
      </c>
      <c r="K28" s="2">
        <v>-1</v>
      </c>
      <c r="L28" s="2">
        <v>1</v>
      </c>
      <c r="M28" s="2">
        <v>0</v>
      </c>
      <c r="N28" s="2">
        <v>12670</v>
      </c>
      <c r="O28" s="2">
        <v>0.95</v>
      </c>
      <c r="P28" s="2">
        <v>1.05</v>
      </c>
      <c r="Q28" s="2">
        <v>1</v>
      </c>
    </row>
    <row r="29" spans="1:17">
      <c r="A29" s="2">
        <v>28</v>
      </c>
      <c r="B29" s="2">
        <v>0</v>
      </c>
      <c r="C29" s="2">
        <v>0</v>
      </c>
      <c r="D29" s="18">
        <v>0.51125548327787596</v>
      </c>
      <c r="E29" s="18">
        <v>0.48715252528200798</v>
      </c>
      <c r="F29" s="18">
        <v>1.5919914401159999E-3</v>
      </c>
      <c r="G29" s="2">
        <v>1</v>
      </c>
      <c r="H29" s="2">
        <v>0</v>
      </c>
      <c r="I29" s="2">
        <v>0</v>
      </c>
      <c r="J29" s="2">
        <v>1</v>
      </c>
      <c r="K29" s="2">
        <v>-1</v>
      </c>
      <c r="L29" s="2">
        <v>1</v>
      </c>
      <c r="M29" s="2">
        <v>0</v>
      </c>
      <c r="N29" s="2">
        <v>12670</v>
      </c>
      <c r="O29" s="2">
        <v>0.95</v>
      </c>
      <c r="P29" s="2">
        <v>1.05</v>
      </c>
      <c r="Q29" s="2">
        <v>1</v>
      </c>
    </row>
    <row r="30" spans="1:17">
      <c r="A30" s="2">
        <v>29</v>
      </c>
      <c r="B30" s="2">
        <v>0</v>
      </c>
      <c r="C30" s="2">
        <v>0</v>
      </c>
      <c r="D30" s="18">
        <v>0.51125548327787596</v>
      </c>
      <c r="E30" s="18">
        <v>0.48715252528200798</v>
      </c>
      <c r="F30" s="18">
        <v>1.5919914401159999E-3</v>
      </c>
      <c r="G30" s="2">
        <v>1</v>
      </c>
      <c r="H30" s="2">
        <v>0</v>
      </c>
      <c r="I30" s="2">
        <v>0</v>
      </c>
      <c r="J30" s="2">
        <v>1</v>
      </c>
      <c r="K30" s="2">
        <v>-1</v>
      </c>
      <c r="L30" s="2">
        <v>1</v>
      </c>
      <c r="M30" s="2">
        <v>0</v>
      </c>
      <c r="N30" s="2">
        <v>12670</v>
      </c>
      <c r="O30" s="2">
        <v>0.95</v>
      </c>
      <c r="P30" s="2">
        <v>1.05</v>
      </c>
      <c r="Q30" s="2">
        <v>1</v>
      </c>
    </row>
    <row r="31" spans="1:17">
      <c r="A31" s="2">
        <v>30</v>
      </c>
      <c r="B31" s="2">
        <v>0</v>
      </c>
      <c r="C31" s="2">
        <v>0</v>
      </c>
      <c r="D31" s="18">
        <v>0.51125548327787596</v>
      </c>
      <c r="E31" s="18">
        <v>0.48715252528200798</v>
      </c>
      <c r="F31" s="18">
        <v>1.5919914401159999E-3</v>
      </c>
      <c r="G31" s="2">
        <v>1</v>
      </c>
      <c r="H31" s="2">
        <v>0</v>
      </c>
      <c r="I31" s="2">
        <v>0</v>
      </c>
      <c r="J31" s="2">
        <v>1</v>
      </c>
      <c r="K31" s="2">
        <v>-1</v>
      </c>
      <c r="L31" s="2">
        <v>1</v>
      </c>
      <c r="M31" s="2">
        <v>0</v>
      </c>
      <c r="N31" s="2">
        <v>12670</v>
      </c>
      <c r="O31" s="2">
        <v>0.95</v>
      </c>
      <c r="P31" s="2">
        <v>1.05</v>
      </c>
      <c r="Q31" s="2">
        <v>1</v>
      </c>
    </row>
    <row r="32" spans="1:17">
      <c r="A32" s="2">
        <v>31</v>
      </c>
      <c r="B32" s="2">
        <v>0</v>
      </c>
      <c r="C32" s="2">
        <v>0</v>
      </c>
      <c r="D32" s="18">
        <v>1.583911753431E-3</v>
      </c>
      <c r="E32" s="18">
        <v>0.91685561547783101</v>
      </c>
      <c r="F32" s="18">
        <v>8.1560472768737999E-2</v>
      </c>
      <c r="G32" s="2">
        <v>1</v>
      </c>
      <c r="H32" s="2">
        <v>0</v>
      </c>
      <c r="I32" s="2">
        <v>0</v>
      </c>
      <c r="J32" s="2">
        <v>1</v>
      </c>
      <c r="K32" s="2">
        <v>-1</v>
      </c>
      <c r="L32" s="2">
        <v>1</v>
      </c>
      <c r="M32" s="2">
        <v>0</v>
      </c>
      <c r="N32" s="2">
        <v>12670</v>
      </c>
      <c r="O32" s="2">
        <v>0.95</v>
      </c>
      <c r="P32" s="2">
        <v>1.05</v>
      </c>
      <c r="Q32" s="2">
        <v>1</v>
      </c>
    </row>
    <row r="33" spans="1:17">
      <c r="A33" s="2">
        <v>32</v>
      </c>
      <c r="B33" s="2">
        <v>0</v>
      </c>
      <c r="C33" s="2">
        <v>0</v>
      </c>
      <c r="D33" s="18">
        <v>1.583911753431E-3</v>
      </c>
      <c r="E33" s="18">
        <v>0.91685561547783101</v>
      </c>
      <c r="F33" s="18">
        <v>8.1560472768737999E-2</v>
      </c>
      <c r="G33" s="2">
        <v>1</v>
      </c>
      <c r="H33" s="2">
        <v>0</v>
      </c>
      <c r="I33" s="2">
        <v>0</v>
      </c>
      <c r="J33" s="2">
        <v>1</v>
      </c>
      <c r="K33" s="2">
        <v>-1</v>
      </c>
      <c r="L33" s="2">
        <v>1</v>
      </c>
      <c r="M33" s="2">
        <v>0</v>
      </c>
      <c r="N33" s="2">
        <v>12670</v>
      </c>
      <c r="O33" s="2">
        <v>0.95</v>
      </c>
      <c r="P33" s="2">
        <v>1.05</v>
      </c>
      <c r="Q33" s="2">
        <v>1</v>
      </c>
    </row>
    <row r="34" spans="1:17">
      <c r="A34" s="2">
        <v>33</v>
      </c>
      <c r="B34" s="2">
        <v>0</v>
      </c>
      <c r="C34" s="2">
        <v>0</v>
      </c>
      <c r="D34" s="18">
        <v>0.51125548327787596</v>
      </c>
      <c r="E34" s="18">
        <v>0.48715252528200798</v>
      </c>
      <c r="F34" s="18">
        <v>1.5919914401159999E-3</v>
      </c>
      <c r="G34" s="2">
        <v>1</v>
      </c>
      <c r="H34" s="2">
        <v>0</v>
      </c>
      <c r="I34" s="2">
        <v>0</v>
      </c>
      <c r="J34" s="2">
        <v>1</v>
      </c>
      <c r="K34" s="2">
        <v>-1</v>
      </c>
      <c r="L34" s="2">
        <v>1</v>
      </c>
      <c r="M34" s="2">
        <v>0</v>
      </c>
      <c r="N34" s="2">
        <v>12670</v>
      </c>
      <c r="O34" s="2">
        <v>0.95</v>
      </c>
      <c r="P34" s="2">
        <v>1.05</v>
      </c>
      <c r="Q34" s="2">
        <v>1</v>
      </c>
    </row>
    <row r="35" spans="1:17">
      <c r="A35" s="2">
        <v>34</v>
      </c>
      <c r="B35" s="2">
        <v>0</v>
      </c>
      <c r="C35" s="2">
        <v>0</v>
      </c>
      <c r="D35" s="18">
        <v>0</v>
      </c>
      <c r="E35" s="18">
        <v>0</v>
      </c>
      <c r="F35" s="18">
        <v>1</v>
      </c>
      <c r="G35" s="2">
        <v>1</v>
      </c>
      <c r="H35" s="2">
        <v>0</v>
      </c>
      <c r="I35" s="2">
        <v>0</v>
      </c>
      <c r="J35" s="2">
        <v>1</v>
      </c>
      <c r="K35" s="2">
        <v>-1</v>
      </c>
      <c r="L35" s="2">
        <v>1</v>
      </c>
      <c r="M35" s="2">
        <v>0</v>
      </c>
      <c r="N35" s="2">
        <v>12670</v>
      </c>
      <c r="O35" s="2">
        <v>0.95</v>
      </c>
      <c r="P35" s="2">
        <v>1.05</v>
      </c>
      <c r="Q35" s="2">
        <v>1</v>
      </c>
    </row>
    <row r="36" spans="1:17">
      <c r="A36" s="2">
        <v>35</v>
      </c>
      <c r="B36" s="2">
        <v>0</v>
      </c>
      <c r="C36" s="2">
        <v>0</v>
      </c>
      <c r="D36" s="18">
        <v>0</v>
      </c>
      <c r="E36" s="18">
        <v>0</v>
      </c>
      <c r="F36" s="18">
        <v>1</v>
      </c>
      <c r="G36" s="2">
        <v>1</v>
      </c>
      <c r="H36" s="2">
        <v>0</v>
      </c>
      <c r="I36" s="2">
        <v>0</v>
      </c>
      <c r="J36" s="2">
        <v>1</v>
      </c>
      <c r="K36" s="2">
        <v>-1</v>
      </c>
      <c r="L36" s="2">
        <v>1</v>
      </c>
      <c r="M36" s="2">
        <v>0</v>
      </c>
      <c r="N36" s="2">
        <v>12670</v>
      </c>
      <c r="O36" s="2">
        <v>0.95</v>
      </c>
      <c r="P36" s="2">
        <v>1.05</v>
      </c>
      <c r="Q36" s="2">
        <v>1</v>
      </c>
    </row>
    <row r="37" spans="1:17">
      <c r="A37" s="2">
        <v>36</v>
      </c>
      <c r="B37" s="2">
        <v>0</v>
      </c>
      <c r="C37" s="2">
        <v>0</v>
      </c>
      <c r="D37" s="18">
        <v>0</v>
      </c>
      <c r="E37" s="18">
        <v>0</v>
      </c>
      <c r="F37" s="18">
        <v>1</v>
      </c>
      <c r="G37" s="2">
        <v>1</v>
      </c>
      <c r="H37" s="2">
        <v>0</v>
      </c>
      <c r="I37" s="2">
        <v>0</v>
      </c>
      <c r="J37" s="2">
        <v>1</v>
      </c>
      <c r="K37" s="2">
        <v>-1</v>
      </c>
      <c r="L37" s="2">
        <v>1</v>
      </c>
      <c r="M37" s="2">
        <v>0</v>
      </c>
      <c r="N37" s="2">
        <v>12670</v>
      </c>
      <c r="O37" s="2">
        <v>0.95</v>
      </c>
      <c r="P37" s="2">
        <v>1.05</v>
      </c>
      <c r="Q37" s="2">
        <v>1</v>
      </c>
    </row>
    <row r="38" spans="1:17">
      <c r="A38" s="2">
        <v>37</v>
      </c>
      <c r="B38" s="2">
        <v>0</v>
      </c>
      <c r="C38" s="2">
        <v>0</v>
      </c>
      <c r="D38" s="18">
        <v>0</v>
      </c>
      <c r="E38" s="18">
        <v>0</v>
      </c>
      <c r="F38" s="18">
        <v>1</v>
      </c>
      <c r="G38" s="2">
        <v>1</v>
      </c>
      <c r="H38" s="2">
        <v>0</v>
      </c>
      <c r="I38" s="2">
        <v>0</v>
      </c>
      <c r="J38" s="2">
        <v>1</v>
      </c>
      <c r="K38" s="2">
        <v>-1</v>
      </c>
      <c r="L38" s="2">
        <v>1</v>
      </c>
      <c r="M38" s="2">
        <v>0</v>
      </c>
      <c r="N38" s="2">
        <v>12670</v>
      </c>
      <c r="O38" s="2">
        <v>0.95</v>
      </c>
      <c r="P38" s="2">
        <v>1.05</v>
      </c>
      <c r="Q38" s="2">
        <v>1</v>
      </c>
    </row>
    <row r="39" spans="1:17">
      <c r="A39" s="2">
        <v>38</v>
      </c>
      <c r="B39" s="2">
        <v>0</v>
      </c>
      <c r="C39" s="2">
        <v>0</v>
      </c>
      <c r="D39" s="18">
        <v>0</v>
      </c>
      <c r="E39" s="18">
        <v>0</v>
      </c>
      <c r="F39" s="18">
        <v>1</v>
      </c>
      <c r="G39" s="2">
        <v>1</v>
      </c>
      <c r="H39" s="2">
        <v>0</v>
      </c>
      <c r="I39" s="2">
        <v>0</v>
      </c>
      <c r="J39" s="2">
        <v>1</v>
      </c>
      <c r="K39" s="2">
        <v>-1</v>
      </c>
      <c r="L39" s="2">
        <v>1</v>
      </c>
      <c r="M39" s="2">
        <v>0</v>
      </c>
      <c r="N39" s="2">
        <v>12670</v>
      </c>
      <c r="O39" s="2">
        <v>0.95</v>
      </c>
      <c r="P39" s="2">
        <v>1.05</v>
      </c>
      <c r="Q39" s="2">
        <v>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0D8E6-3998-174D-8185-E3A24973A238}">
  <dimension ref="A1:M38"/>
  <sheetViews>
    <sheetView zoomScaleNormal="100" workbookViewId="0">
      <selection activeCell="G2" sqref="G2:G38"/>
    </sheetView>
  </sheetViews>
  <sheetFormatPr baseColWidth="10" defaultColWidth="10.7109375" defaultRowHeight="18"/>
  <cols>
    <col min="1" max="11" width="10.7109375" style="1"/>
    <col min="12" max="12" width="13.5703125" style="1" customWidth="1"/>
    <col min="13" max="16384" width="10.7109375" style="1"/>
  </cols>
  <sheetData>
    <row r="1" spans="1:13" ht="42" customHeight="1">
      <c r="A1" s="3" t="s">
        <v>51</v>
      </c>
      <c r="B1" s="3" t="s">
        <v>1</v>
      </c>
      <c r="C1" s="3" t="s">
        <v>2</v>
      </c>
      <c r="D1" s="3" t="s">
        <v>3</v>
      </c>
      <c r="E1" s="3" t="s">
        <v>22</v>
      </c>
      <c r="F1" s="10" t="s">
        <v>28</v>
      </c>
      <c r="G1" s="3" t="s">
        <v>29</v>
      </c>
      <c r="H1" s="3" t="s">
        <v>30</v>
      </c>
      <c r="I1" s="3" t="s">
        <v>48</v>
      </c>
      <c r="J1" s="3" t="s">
        <v>49</v>
      </c>
      <c r="K1" s="3" t="s">
        <v>50</v>
      </c>
      <c r="L1" s="4" t="s">
        <v>113</v>
      </c>
      <c r="M1" s="4" t="s">
        <v>42</v>
      </c>
    </row>
    <row r="2" spans="1:13">
      <c r="A2" s="15">
        <v>1</v>
      </c>
      <c r="B2" s="2">
        <v>1</v>
      </c>
      <c r="C2" s="2">
        <v>2</v>
      </c>
      <c r="D2" s="2">
        <f>0.000574*(12.67^2/1)</f>
        <v>9.2143588599999993E-2</v>
      </c>
      <c r="E2" s="2">
        <f>0.000293*(12.67^2/1)</f>
        <v>4.7034967699999999E-2</v>
      </c>
      <c r="F2" s="6">
        <v>0</v>
      </c>
      <c r="G2" s="2">
        <v>0</v>
      </c>
      <c r="H2" s="6">
        <v>0</v>
      </c>
      <c r="I2" s="2">
        <v>4.5999999999999996</v>
      </c>
      <c r="J2" s="2">
        <v>4.5999999999999996</v>
      </c>
      <c r="K2" s="2">
        <v>4.5999999999999996</v>
      </c>
      <c r="L2" s="2">
        <v>0</v>
      </c>
      <c r="M2" s="2">
        <v>1</v>
      </c>
    </row>
    <row r="3" spans="1:13">
      <c r="A3" s="15">
        <v>2</v>
      </c>
      <c r="B3" s="2">
        <v>2</v>
      </c>
      <c r="C3" s="2">
        <v>3</v>
      </c>
      <c r="D3" s="2">
        <f>0.00307*(12.67^2/1)</f>
        <v>0.49282372299999994</v>
      </c>
      <c r="E3" s="2">
        <f>0.001564*(12.67^2/1)</f>
        <v>0.25106719960000001</v>
      </c>
      <c r="F3" s="6">
        <v>0</v>
      </c>
      <c r="G3" s="2">
        <v>0</v>
      </c>
      <c r="H3" s="6">
        <v>0</v>
      </c>
      <c r="I3" s="2">
        <v>4.0999999999999996</v>
      </c>
      <c r="J3" s="2">
        <v>4.0999999999999996</v>
      </c>
      <c r="K3" s="2">
        <v>4.0999999999999996</v>
      </c>
      <c r="L3" s="2">
        <v>0</v>
      </c>
      <c r="M3" s="2">
        <v>1</v>
      </c>
    </row>
    <row r="4" spans="1:13">
      <c r="A4" s="15">
        <v>3</v>
      </c>
      <c r="B4" s="2">
        <v>3</v>
      </c>
      <c r="C4" s="2">
        <v>4</v>
      </c>
      <c r="D4" s="2">
        <f>0.002279*(12.67^2/1)</f>
        <v>0.36584536310000004</v>
      </c>
      <c r="E4" s="2">
        <f>0.001161*(12.67^2/1)</f>
        <v>0.18637405289999998</v>
      </c>
      <c r="F4" s="6">
        <v>0</v>
      </c>
      <c r="G4" s="2">
        <v>0</v>
      </c>
      <c r="H4" s="6">
        <v>0</v>
      </c>
      <c r="I4" s="2">
        <v>2.9</v>
      </c>
      <c r="J4" s="2">
        <v>2.9</v>
      </c>
      <c r="K4" s="2">
        <v>2.9</v>
      </c>
      <c r="L4" s="2">
        <v>0</v>
      </c>
      <c r="M4" s="2">
        <v>1</v>
      </c>
    </row>
    <row r="5" spans="1:13">
      <c r="A5" s="15">
        <v>4</v>
      </c>
      <c r="B5" s="2">
        <v>4</v>
      </c>
      <c r="C5" s="2">
        <v>5</v>
      </c>
      <c r="D5" s="2">
        <f>0.002373*(12.66^2/1)</f>
        <v>0.38033399880000002</v>
      </c>
      <c r="E5" s="2">
        <f>0.001209*(12.67^2/1)</f>
        <v>0.1940794401</v>
      </c>
      <c r="F5" s="6">
        <v>0</v>
      </c>
      <c r="G5" s="2">
        <v>0</v>
      </c>
      <c r="H5" s="6">
        <v>0</v>
      </c>
      <c r="I5" s="2">
        <v>2.9</v>
      </c>
      <c r="J5" s="2">
        <v>2.9</v>
      </c>
      <c r="K5" s="2">
        <v>2.9</v>
      </c>
      <c r="L5" s="2">
        <v>0</v>
      </c>
      <c r="M5" s="2">
        <v>1</v>
      </c>
    </row>
    <row r="6" spans="1:13">
      <c r="A6" s="15">
        <v>5</v>
      </c>
      <c r="B6" s="2">
        <v>5</v>
      </c>
      <c r="C6" s="2">
        <v>6</v>
      </c>
      <c r="D6" s="2">
        <f>0.0051*(12.67^2/1)</f>
        <v>0.81869738999999997</v>
      </c>
      <c r="E6" s="2">
        <f>0.004402*(12.67^2/1)</f>
        <v>0.70664821779999987</v>
      </c>
      <c r="F6" s="6">
        <v>0</v>
      </c>
      <c r="G6" s="2">
        <v>0</v>
      </c>
      <c r="H6" s="6">
        <v>0</v>
      </c>
      <c r="I6" s="2">
        <v>2.9</v>
      </c>
      <c r="J6" s="2">
        <v>2.9</v>
      </c>
      <c r="K6" s="2">
        <v>2.9</v>
      </c>
      <c r="L6" s="2">
        <v>0</v>
      </c>
      <c r="M6" s="2">
        <v>1</v>
      </c>
    </row>
    <row r="7" spans="1:13">
      <c r="A7" s="15">
        <v>6</v>
      </c>
      <c r="B7" s="2">
        <v>6</v>
      </c>
      <c r="C7" s="2">
        <v>7</v>
      </c>
      <c r="D7" s="2">
        <f>0.001166*(12.67^2/1)</f>
        <v>0.18717669739999998</v>
      </c>
      <c r="E7" s="2">
        <f>0.003853*(12.67^2/1)</f>
        <v>0.61851785169999995</v>
      </c>
      <c r="F7" s="6">
        <v>0</v>
      </c>
      <c r="G7" s="2">
        <v>0</v>
      </c>
      <c r="H7" s="6">
        <v>0</v>
      </c>
      <c r="I7" s="2">
        <v>1.5</v>
      </c>
      <c r="J7" s="2">
        <v>1.5</v>
      </c>
      <c r="K7" s="2">
        <v>1.5</v>
      </c>
      <c r="L7" s="2">
        <v>0</v>
      </c>
      <c r="M7" s="2">
        <v>1</v>
      </c>
    </row>
    <row r="8" spans="1:13">
      <c r="A8" s="15">
        <v>7</v>
      </c>
      <c r="B8" s="2">
        <v>7</v>
      </c>
      <c r="C8" s="2">
        <v>8</v>
      </c>
      <c r="D8" s="2">
        <f>0.00443*(12.67^2/1)</f>
        <v>0.71114302699999998</v>
      </c>
      <c r="E8" s="2">
        <f>0.001464*(12.67^2/1)</f>
        <v>0.2350143096</v>
      </c>
      <c r="F8" s="6">
        <v>0</v>
      </c>
      <c r="G8" s="2">
        <v>0</v>
      </c>
      <c r="H8" s="6">
        <v>0</v>
      </c>
      <c r="I8" s="2">
        <v>1.05</v>
      </c>
      <c r="J8" s="2">
        <v>1.05</v>
      </c>
      <c r="K8" s="2">
        <v>1.05</v>
      </c>
      <c r="L8" s="2">
        <v>0</v>
      </c>
      <c r="M8" s="2">
        <v>1</v>
      </c>
    </row>
    <row r="9" spans="1:13">
      <c r="A9" s="15">
        <v>8</v>
      </c>
      <c r="B9" s="2">
        <v>8</v>
      </c>
      <c r="C9" s="2">
        <v>9</v>
      </c>
      <c r="D9" s="2">
        <f>0.006413*(12.67^2/1)</f>
        <v>1.0294718356999999</v>
      </c>
      <c r="E9" s="2">
        <f>0.004608*(12.67^2/1)</f>
        <v>0.73971717120000002</v>
      </c>
      <c r="F9" s="6">
        <v>0</v>
      </c>
      <c r="G9" s="2">
        <v>0</v>
      </c>
      <c r="H9" s="6">
        <v>0</v>
      </c>
      <c r="I9" s="2">
        <v>1.05</v>
      </c>
      <c r="J9" s="2">
        <v>1.05</v>
      </c>
      <c r="K9" s="2">
        <v>1.05</v>
      </c>
      <c r="L9" s="2">
        <v>0</v>
      </c>
      <c r="M9" s="2">
        <v>1</v>
      </c>
    </row>
    <row r="10" spans="1:13">
      <c r="A10" s="15">
        <v>9</v>
      </c>
      <c r="B10" s="2">
        <v>9</v>
      </c>
      <c r="C10" s="2">
        <v>10</v>
      </c>
      <c r="D10" s="2">
        <f>0.006501*(12.67^2/1)</f>
        <v>1.0435983788999998</v>
      </c>
      <c r="E10" s="2">
        <f>0.004608*(12.67^2/1)</f>
        <v>0.73971717120000002</v>
      </c>
      <c r="F10" s="6">
        <v>0</v>
      </c>
      <c r="G10" s="2">
        <v>0</v>
      </c>
      <c r="H10" s="6">
        <v>0</v>
      </c>
      <c r="I10" s="2">
        <v>1.05</v>
      </c>
      <c r="J10" s="2">
        <v>1.05</v>
      </c>
      <c r="K10" s="2">
        <v>1.05</v>
      </c>
      <c r="L10" s="2">
        <v>0</v>
      </c>
      <c r="M10" s="2">
        <v>1</v>
      </c>
    </row>
    <row r="11" spans="1:13">
      <c r="A11" s="15">
        <v>10</v>
      </c>
      <c r="B11" s="2">
        <v>10</v>
      </c>
      <c r="C11" s="2">
        <v>11</v>
      </c>
      <c r="D11" s="2">
        <f>0.001224*(12.67^2/1)</f>
        <v>0.19648737359999999</v>
      </c>
      <c r="E11" s="2">
        <f>0.000405*(12.67^2/1)</f>
        <v>6.5014204499999992E-2</v>
      </c>
      <c r="F11" s="6">
        <v>0</v>
      </c>
      <c r="G11" s="2">
        <v>0</v>
      </c>
      <c r="H11" s="6">
        <v>0</v>
      </c>
      <c r="I11" s="2">
        <v>1.05</v>
      </c>
      <c r="J11" s="2">
        <v>1.05</v>
      </c>
      <c r="K11" s="2">
        <v>1.05</v>
      </c>
      <c r="L11" s="2">
        <v>0</v>
      </c>
      <c r="M11" s="2">
        <v>1</v>
      </c>
    </row>
    <row r="12" spans="1:13">
      <c r="A12" s="15">
        <v>11</v>
      </c>
      <c r="B12" s="2">
        <v>11</v>
      </c>
      <c r="C12" s="2">
        <v>12</v>
      </c>
      <c r="D12" s="2">
        <f>0.002331*(12.67^2/1)</f>
        <v>0.3741928659</v>
      </c>
      <c r="E12" s="2">
        <f>0.000771*(12.67^2/1)</f>
        <v>0.1237677819</v>
      </c>
      <c r="F12" s="6">
        <v>0</v>
      </c>
      <c r="G12" s="2">
        <v>0</v>
      </c>
      <c r="H12" s="6">
        <v>0</v>
      </c>
      <c r="I12" s="2">
        <v>1.05</v>
      </c>
      <c r="J12" s="2">
        <v>1.05</v>
      </c>
      <c r="K12" s="2">
        <v>1.05</v>
      </c>
      <c r="L12" s="2">
        <v>0</v>
      </c>
      <c r="M12" s="2">
        <v>1</v>
      </c>
    </row>
    <row r="13" spans="1:13">
      <c r="A13" s="15">
        <v>12</v>
      </c>
      <c r="B13" s="2">
        <v>12</v>
      </c>
      <c r="C13" s="2">
        <v>13</v>
      </c>
      <c r="D13" s="2">
        <f>0.009141*(12.67^2/1)</f>
        <v>1.4673946749</v>
      </c>
      <c r="E13" s="2">
        <f>0.007192*(12.67^2/1)</f>
        <v>1.1545238487999998</v>
      </c>
      <c r="F13" s="6">
        <v>0</v>
      </c>
      <c r="G13" s="2">
        <v>0</v>
      </c>
      <c r="H13" s="6">
        <v>0</v>
      </c>
      <c r="I13" s="2">
        <v>0.5</v>
      </c>
      <c r="J13" s="2">
        <v>0.5</v>
      </c>
      <c r="K13" s="2">
        <v>0.5</v>
      </c>
      <c r="L13" s="2">
        <v>0</v>
      </c>
      <c r="M13" s="2">
        <v>1</v>
      </c>
    </row>
    <row r="14" spans="1:13">
      <c r="A14" s="15">
        <v>13</v>
      </c>
      <c r="B14" s="2">
        <v>13</v>
      </c>
      <c r="C14" s="2">
        <v>14</v>
      </c>
      <c r="D14" s="2">
        <f>0.003372*(12.67^2/1)</f>
        <v>0.54130345079999997</v>
      </c>
      <c r="E14" s="2">
        <f>0.004439*(12.67^2/1)</f>
        <v>0.71258778710000004</v>
      </c>
      <c r="F14" s="6">
        <v>0</v>
      </c>
      <c r="G14" s="2">
        <v>0</v>
      </c>
      <c r="H14" s="6">
        <v>0</v>
      </c>
      <c r="I14" s="2">
        <v>0.45</v>
      </c>
      <c r="J14" s="2">
        <v>0.45</v>
      </c>
      <c r="K14" s="2">
        <v>0.45</v>
      </c>
      <c r="L14" s="2">
        <v>0</v>
      </c>
      <c r="M14" s="2">
        <v>1</v>
      </c>
    </row>
    <row r="15" spans="1:13">
      <c r="A15" s="15">
        <v>14</v>
      </c>
      <c r="B15" s="2">
        <v>14</v>
      </c>
      <c r="C15" s="2">
        <v>15</v>
      </c>
      <c r="D15" s="2">
        <f>0.00368*(12.67^2/1)</f>
        <v>0.59074635200000003</v>
      </c>
      <c r="E15" s="2">
        <f>0.003275*(12.67^2/1)</f>
        <v>0.52573214749999997</v>
      </c>
      <c r="F15" s="6">
        <v>0</v>
      </c>
      <c r="G15" s="2">
        <v>0</v>
      </c>
      <c r="H15" s="6">
        <v>0</v>
      </c>
      <c r="I15" s="2">
        <v>0.3</v>
      </c>
      <c r="J15" s="2">
        <v>0.3</v>
      </c>
      <c r="K15" s="2">
        <v>0.3</v>
      </c>
      <c r="L15" s="2">
        <v>0</v>
      </c>
      <c r="M15" s="2">
        <v>1</v>
      </c>
    </row>
    <row r="16" spans="1:13">
      <c r="A16" s="15">
        <v>15</v>
      </c>
      <c r="B16" s="2">
        <v>15</v>
      </c>
      <c r="C16" s="2">
        <v>16</v>
      </c>
      <c r="D16" s="2">
        <f>0.004647*(12.67^2/1)</f>
        <v>0.74597779829999999</v>
      </c>
      <c r="E16" s="2">
        <f>0.003394*(12.67^2/1)</f>
        <v>0.54483508659999991</v>
      </c>
      <c r="F16" s="6">
        <v>0</v>
      </c>
      <c r="G16" s="2">
        <v>0</v>
      </c>
      <c r="H16" s="6">
        <v>0</v>
      </c>
      <c r="I16" s="2">
        <v>0.25</v>
      </c>
      <c r="J16" s="2">
        <v>0.25</v>
      </c>
      <c r="K16" s="2">
        <v>0.25</v>
      </c>
      <c r="L16" s="2">
        <v>0</v>
      </c>
      <c r="M16" s="2">
        <v>1</v>
      </c>
    </row>
    <row r="17" spans="1:13">
      <c r="A17" s="15">
        <v>16</v>
      </c>
      <c r="B17" s="2">
        <v>16</v>
      </c>
      <c r="C17" s="2">
        <v>17</v>
      </c>
      <c r="D17" s="2">
        <f>0.008026*(12.67^2/1)</f>
        <v>1.2884049514</v>
      </c>
      <c r="E17" s="2">
        <f>0.010716*(12.67^2/1)</f>
        <v>1.7202276924</v>
      </c>
      <c r="F17" s="6">
        <v>0</v>
      </c>
      <c r="G17" s="2">
        <v>0</v>
      </c>
      <c r="H17" s="6">
        <v>0</v>
      </c>
      <c r="I17" s="2">
        <v>0.25</v>
      </c>
      <c r="J17" s="2">
        <v>0.25</v>
      </c>
      <c r="K17" s="2">
        <v>0.25</v>
      </c>
      <c r="L17" s="2">
        <v>0</v>
      </c>
      <c r="M17" s="2">
        <v>1</v>
      </c>
    </row>
    <row r="18" spans="1:13">
      <c r="A18" s="15">
        <v>17</v>
      </c>
      <c r="B18" s="2">
        <v>17</v>
      </c>
      <c r="C18" s="2">
        <v>18</v>
      </c>
      <c r="D18" s="2">
        <f>0.004558*(12.67^2/1)</f>
        <v>0.73169072620000009</v>
      </c>
      <c r="E18" s="2">
        <f>0.003574*(12.67^2/1)</f>
        <v>0.57373028859999997</v>
      </c>
      <c r="F18" s="6">
        <v>0</v>
      </c>
      <c r="G18" s="2">
        <v>0</v>
      </c>
      <c r="H18" s="6">
        <v>0</v>
      </c>
      <c r="I18" s="2">
        <v>0.1</v>
      </c>
      <c r="J18" s="2">
        <v>0.1</v>
      </c>
      <c r="K18" s="2">
        <v>0.1</v>
      </c>
      <c r="L18" s="2">
        <v>0</v>
      </c>
      <c r="M18" s="2">
        <v>1</v>
      </c>
    </row>
    <row r="19" spans="1:13">
      <c r="A19" s="15">
        <v>18</v>
      </c>
      <c r="B19" s="2">
        <v>2</v>
      </c>
      <c r="C19" s="2">
        <v>19</v>
      </c>
      <c r="D19" s="2">
        <f>0.001021*(12.67^2/1)</f>
        <v>0.16390000689999998</v>
      </c>
      <c r="E19" s="2">
        <f>0.000974*(12.67^2/1)</f>
        <v>0.15635514859999999</v>
      </c>
      <c r="F19" s="6">
        <v>0</v>
      </c>
      <c r="G19" s="2">
        <v>0</v>
      </c>
      <c r="H19" s="6">
        <v>0</v>
      </c>
      <c r="I19" s="2">
        <v>0.5</v>
      </c>
      <c r="J19" s="2">
        <v>0.5</v>
      </c>
      <c r="K19" s="2">
        <v>0.5</v>
      </c>
      <c r="L19" s="2">
        <v>0</v>
      </c>
      <c r="M19" s="2">
        <v>1</v>
      </c>
    </row>
    <row r="20" spans="1:13">
      <c r="A20" s="15">
        <v>19</v>
      </c>
      <c r="B20" s="2">
        <v>19</v>
      </c>
      <c r="C20" s="2">
        <v>20</v>
      </c>
      <c r="D20" s="2">
        <f>0.009366*(12.67^2/1)</f>
        <v>1.5035136773999997</v>
      </c>
      <c r="E20" s="2">
        <f>0.00844*(12.67^2/1)</f>
        <v>1.3548639159999998</v>
      </c>
      <c r="F20" s="6">
        <v>0</v>
      </c>
      <c r="G20" s="2">
        <v>0</v>
      </c>
      <c r="H20" s="6">
        <v>0</v>
      </c>
      <c r="I20" s="2">
        <v>0.5</v>
      </c>
      <c r="J20" s="2">
        <v>0.5</v>
      </c>
      <c r="K20" s="2">
        <v>0.5</v>
      </c>
      <c r="L20" s="2">
        <v>0</v>
      </c>
      <c r="M20" s="2">
        <v>1</v>
      </c>
    </row>
    <row r="21" spans="1:13">
      <c r="A21" s="15">
        <v>20</v>
      </c>
      <c r="B21" s="2">
        <v>20</v>
      </c>
      <c r="C21" s="2">
        <v>21</v>
      </c>
      <c r="D21" s="2">
        <f>0.00255*(12.67^2/1)</f>
        <v>0.40934869499999998</v>
      </c>
      <c r="E21" s="2">
        <f>0.002979*(12.67^2/1)</f>
        <v>0.47821559309999995</v>
      </c>
      <c r="F21" s="6">
        <v>0</v>
      </c>
      <c r="G21" s="2">
        <v>0</v>
      </c>
      <c r="H21" s="6">
        <v>0</v>
      </c>
      <c r="I21" s="2">
        <v>0.21</v>
      </c>
      <c r="J21" s="2">
        <v>0.21</v>
      </c>
      <c r="K21" s="2">
        <v>0.21</v>
      </c>
      <c r="L21" s="2">
        <v>0</v>
      </c>
      <c r="M21" s="2">
        <v>1</v>
      </c>
    </row>
    <row r="22" spans="1:13">
      <c r="A22" s="15">
        <v>21</v>
      </c>
      <c r="B22" s="2">
        <v>21</v>
      </c>
      <c r="C22" s="2">
        <v>22</v>
      </c>
      <c r="D22" s="2">
        <f>0.004414*(12.67^2/1)</f>
        <v>0.70857456460000001</v>
      </c>
      <c r="E22" s="2">
        <f>0.005836*(12.67^2/1)</f>
        <v>0.93684666039999998</v>
      </c>
      <c r="F22" s="6">
        <v>0</v>
      </c>
      <c r="G22" s="2">
        <v>0</v>
      </c>
      <c r="H22" s="6">
        <v>0</v>
      </c>
      <c r="I22" s="2">
        <v>0.11</v>
      </c>
      <c r="J22" s="2">
        <v>0.11</v>
      </c>
      <c r="K22" s="2">
        <v>0.11</v>
      </c>
      <c r="L22" s="2">
        <v>0</v>
      </c>
      <c r="M22" s="2">
        <v>1</v>
      </c>
    </row>
    <row r="23" spans="1:13">
      <c r="A23" s="15">
        <v>22</v>
      </c>
      <c r="B23" s="2">
        <v>3</v>
      </c>
      <c r="C23" s="2">
        <v>23</v>
      </c>
      <c r="D23" s="2">
        <f>0.002809*(12.67^2/1)</f>
        <v>0.45092568009999995</v>
      </c>
      <c r="E23" s="2">
        <f>0.00192*(12.67^2/1)</f>
        <v>0.30821548799999998</v>
      </c>
      <c r="F23" s="6">
        <v>0</v>
      </c>
      <c r="G23" s="2">
        <v>0</v>
      </c>
      <c r="H23" s="6">
        <v>0</v>
      </c>
      <c r="I23" s="2">
        <v>1.05</v>
      </c>
      <c r="J23" s="2">
        <v>1.05</v>
      </c>
      <c r="K23" s="2">
        <v>1.05</v>
      </c>
      <c r="L23" s="2">
        <v>0</v>
      </c>
      <c r="M23" s="2">
        <v>1</v>
      </c>
    </row>
    <row r="24" spans="1:13">
      <c r="A24" s="15">
        <v>23</v>
      </c>
      <c r="B24" s="2">
        <v>23</v>
      </c>
      <c r="C24" s="2">
        <v>24</v>
      </c>
      <c r="D24" s="2">
        <f>0.005592*(12.67^2/1)</f>
        <v>0.89767760879999992</v>
      </c>
      <c r="E24" s="2">
        <f>0.004415*(12.67^2/1)</f>
        <v>0.70873509349999997</v>
      </c>
      <c r="F24" s="6">
        <v>0</v>
      </c>
      <c r="G24" s="2">
        <v>0</v>
      </c>
      <c r="H24" s="6">
        <v>0</v>
      </c>
      <c r="I24" s="2">
        <v>1.05</v>
      </c>
      <c r="J24" s="2">
        <v>1.05</v>
      </c>
      <c r="K24" s="2">
        <v>1.05</v>
      </c>
      <c r="L24" s="2">
        <v>0</v>
      </c>
      <c r="M24" s="2">
        <v>1</v>
      </c>
    </row>
    <row r="25" spans="1:13">
      <c r="A25" s="15">
        <v>24</v>
      </c>
      <c r="B25" s="2">
        <v>24</v>
      </c>
      <c r="C25" s="2">
        <v>25</v>
      </c>
      <c r="D25" s="2">
        <f>0.005579*(12.67^2/1)</f>
        <v>0.89559073309999992</v>
      </c>
      <c r="E25" s="2">
        <f>0.004366*(12.67^2/1)</f>
        <v>0.70086917739999999</v>
      </c>
      <c r="F25" s="6">
        <v>0</v>
      </c>
      <c r="G25" s="2">
        <v>0</v>
      </c>
      <c r="H25" s="6">
        <v>0</v>
      </c>
      <c r="I25" s="2">
        <v>0.5</v>
      </c>
      <c r="J25" s="2">
        <v>0.5</v>
      </c>
      <c r="K25" s="2">
        <v>0.5</v>
      </c>
      <c r="L25" s="2">
        <v>0</v>
      </c>
      <c r="M25" s="2">
        <v>1</v>
      </c>
    </row>
    <row r="26" spans="1:13">
      <c r="A26" s="15">
        <v>25</v>
      </c>
      <c r="B26" s="2">
        <v>9</v>
      </c>
      <c r="C26" s="2">
        <v>26</v>
      </c>
      <c r="D26" s="2">
        <f>0.001264*(12.67^2/1)</f>
        <v>0.20290852959999997</v>
      </c>
      <c r="E26" s="2">
        <f>0.000644*(12.67^2/1)</f>
        <v>0.10338061160000001</v>
      </c>
      <c r="F26" s="6">
        <v>0</v>
      </c>
      <c r="G26" s="2">
        <v>0</v>
      </c>
      <c r="H26" s="6">
        <v>0</v>
      </c>
      <c r="I26" s="2">
        <v>1.5</v>
      </c>
      <c r="J26" s="2">
        <v>1.5</v>
      </c>
      <c r="K26" s="2">
        <v>1.5</v>
      </c>
      <c r="L26" s="2">
        <v>0</v>
      </c>
      <c r="M26" s="2">
        <v>1</v>
      </c>
    </row>
    <row r="27" spans="1:13">
      <c r="A27" s="15">
        <v>26</v>
      </c>
      <c r="B27" s="2">
        <v>26</v>
      </c>
      <c r="C27" s="2">
        <v>27</v>
      </c>
      <c r="D27" s="2">
        <f>0.00177*(12.67^2/1)</f>
        <v>0.284136153</v>
      </c>
      <c r="E27" s="2">
        <f>0.000901*(12.67^2/1)</f>
        <v>0.1446365389</v>
      </c>
      <c r="F27" s="6">
        <v>0</v>
      </c>
      <c r="G27" s="2">
        <v>0</v>
      </c>
      <c r="H27" s="6">
        <v>0</v>
      </c>
      <c r="I27" s="2">
        <v>1.5</v>
      </c>
      <c r="J27" s="2">
        <v>1.5</v>
      </c>
      <c r="K27" s="2">
        <v>1.5</v>
      </c>
      <c r="L27" s="2">
        <v>0</v>
      </c>
      <c r="M27" s="2">
        <v>1</v>
      </c>
    </row>
    <row r="28" spans="1:13">
      <c r="A28" s="15">
        <v>27</v>
      </c>
      <c r="B28" s="2">
        <v>27</v>
      </c>
      <c r="C28" s="2">
        <v>28</v>
      </c>
      <c r="D28" s="2">
        <f>0.006594*(12.67^2/1)</f>
        <v>1.0585275666</v>
      </c>
      <c r="E28" s="2">
        <f>0.005814*(12.67^2/1)</f>
        <v>0.93331502459999993</v>
      </c>
      <c r="F28" s="6">
        <v>0</v>
      </c>
      <c r="G28" s="2">
        <v>0</v>
      </c>
      <c r="H28" s="6">
        <v>0</v>
      </c>
      <c r="I28" s="2">
        <v>1.5</v>
      </c>
      <c r="J28" s="2">
        <v>1.5</v>
      </c>
      <c r="K28" s="2">
        <v>1.5</v>
      </c>
      <c r="L28" s="2">
        <v>0</v>
      </c>
      <c r="M28" s="2">
        <v>1</v>
      </c>
    </row>
    <row r="29" spans="1:13">
      <c r="A29" s="15">
        <v>28</v>
      </c>
      <c r="B29" s="2">
        <v>28</v>
      </c>
      <c r="C29" s="2">
        <v>29</v>
      </c>
      <c r="D29" s="2">
        <f>0.005007*(12.67^2/1)</f>
        <v>0.80376820230000001</v>
      </c>
      <c r="E29" s="2">
        <f>0.004362*(12.67^2/1)</f>
        <v>0.70022706180000005</v>
      </c>
      <c r="F29" s="6">
        <v>0</v>
      </c>
      <c r="G29" s="2">
        <v>0</v>
      </c>
      <c r="H29" s="6">
        <v>0</v>
      </c>
      <c r="I29" s="2">
        <v>1.5</v>
      </c>
      <c r="J29" s="2">
        <v>1.5</v>
      </c>
      <c r="K29" s="2">
        <v>1.5</v>
      </c>
      <c r="L29" s="2">
        <v>0</v>
      </c>
      <c r="M29" s="2">
        <v>1</v>
      </c>
    </row>
    <row r="30" spans="1:13">
      <c r="A30" s="15">
        <v>29</v>
      </c>
      <c r="B30" s="2">
        <v>29</v>
      </c>
      <c r="C30" s="2">
        <v>30</v>
      </c>
      <c r="D30" s="2">
        <f>0.00316*(12.67^2/1)</f>
        <v>0.50727132399999997</v>
      </c>
      <c r="E30" s="2">
        <f>0.00161*(12.67^2/1)</f>
        <v>0.25845152900000001</v>
      </c>
      <c r="F30" s="6">
        <v>0</v>
      </c>
      <c r="G30" s="2">
        <v>0</v>
      </c>
      <c r="H30" s="6">
        <v>0</v>
      </c>
      <c r="I30" s="2">
        <v>1.5</v>
      </c>
      <c r="J30" s="2">
        <v>1.5</v>
      </c>
      <c r="K30" s="2">
        <v>1.5</v>
      </c>
      <c r="L30" s="2">
        <v>0</v>
      </c>
      <c r="M30" s="2">
        <v>1</v>
      </c>
    </row>
    <row r="31" spans="1:13">
      <c r="A31" s="15">
        <v>30</v>
      </c>
      <c r="B31" s="2">
        <v>30</v>
      </c>
      <c r="C31" s="2">
        <v>31</v>
      </c>
      <c r="D31" s="2">
        <f>0.006067*(12.67^2/1)</f>
        <v>0.97392883630000004</v>
      </c>
      <c r="E31" s="2">
        <f>0.005996*(12.67^2/1)</f>
        <v>0.96253128439999991</v>
      </c>
      <c r="F31" s="6">
        <v>0</v>
      </c>
      <c r="G31" s="2">
        <v>0</v>
      </c>
      <c r="H31" s="6">
        <v>0</v>
      </c>
      <c r="I31" s="2">
        <v>0.5</v>
      </c>
      <c r="J31" s="2">
        <v>0.5</v>
      </c>
      <c r="K31" s="2">
        <v>0.5</v>
      </c>
      <c r="L31" s="2">
        <v>0</v>
      </c>
      <c r="M31" s="2">
        <v>1</v>
      </c>
    </row>
    <row r="32" spans="1:13">
      <c r="A32" s="15">
        <v>31</v>
      </c>
      <c r="B32" s="2">
        <v>31</v>
      </c>
      <c r="C32" s="2">
        <v>32</v>
      </c>
      <c r="D32" s="2">
        <f>0.001933*(12.67^2/1)</f>
        <v>0.31030236369999997</v>
      </c>
      <c r="E32" s="2">
        <f>0.002253*(12.67^2/1)</f>
        <v>0.36167161169999995</v>
      </c>
      <c r="F32" s="6">
        <v>0</v>
      </c>
      <c r="G32" s="2">
        <v>0</v>
      </c>
      <c r="H32" s="6">
        <v>0</v>
      </c>
      <c r="I32" s="2">
        <v>0.5</v>
      </c>
      <c r="J32" s="2">
        <v>0.5</v>
      </c>
      <c r="K32" s="2">
        <v>0.5</v>
      </c>
      <c r="L32" s="2">
        <v>0</v>
      </c>
      <c r="M32" s="2">
        <v>1</v>
      </c>
    </row>
    <row r="33" spans="1:13">
      <c r="A33" s="15">
        <v>32</v>
      </c>
      <c r="B33" s="2">
        <v>32</v>
      </c>
      <c r="C33" s="2">
        <v>33</v>
      </c>
      <c r="D33" s="2">
        <f>0.002123*(12.67^2/1)</f>
        <v>0.34080285469999999</v>
      </c>
      <c r="E33" s="2">
        <f>0.003301*(12.67^2/1)</f>
        <v>0.52990589889999995</v>
      </c>
      <c r="F33" s="6">
        <v>0</v>
      </c>
      <c r="G33" s="2">
        <v>0</v>
      </c>
      <c r="H33" s="6">
        <v>0</v>
      </c>
      <c r="I33" s="2">
        <v>0.1</v>
      </c>
      <c r="J33" s="2">
        <v>0.1</v>
      </c>
      <c r="K33" s="2">
        <v>0.1</v>
      </c>
      <c r="L33" s="2">
        <v>0</v>
      </c>
      <c r="M33" s="2">
        <v>1</v>
      </c>
    </row>
    <row r="34" spans="1:13">
      <c r="A34" s="15">
        <v>33</v>
      </c>
      <c r="B34" s="2">
        <v>8</v>
      </c>
      <c r="C34" s="2">
        <v>34</v>
      </c>
      <c r="D34" s="2">
        <f>0.012453*(12.67^2/1)</f>
        <v>1.9990663917</v>
      </c>
      <c r="E34" s="2">
        <f>0.012453*(12.67^2/1)</f>
        <v>1.9990663917</v>
      </c>
      <c r="F34" s="6">
        <v>0</v>
      </c>
      <c r="G34" s="2">
        <v>0</v>
      </c>
      <c r="H34" s="6">
        <v>0</v>
      </c>
      <c r="I34" s="2">
        <v>0.5</v>
      </c>
      <c r="J34" s="2">
        <v>0.5</v>
      </c>
      <c r="K34" s="2">
        <v>0.5</v>
      </c>
      <c r="L34" s="2">
        <v>0</v>
      </c>
      <c r="M34" s="2">
        <v>1</v>
      </c>
    </row>
    <row r="35" spans="1:13">
      <c r="A35" s="15">
        <v>34</v>
      </c>
      <c r="B35" s="2">
        <v>29</v>
      </c>
      <c r="C35" s="2">
        <v>35</v>
      </c>
      <c r="D35" s="2">
        <f>0.012453*(12.67^2/1)</f>
        <v>1.9990663917</v>
      </c>
      <c r="E35" s="2">
        <f>0.0012453*(12.67^2/1)</f>
        <v>0.19990663916999998</v>
      </c>
      <c r="F35" s="6">
        <v>0</v>
      </c>
      <c r="G35" s="2">
        <v>0</v>
      </c>
      <c r="H35" s="6">
        <v>0</v>
      </c>
      <c r="I35" s="2">
        <v>0.5</v>
      </c>
      <c r="J35" s="2">
        <v>0.5</v>
      </c>
      <c r="K35" s="2">
        <v>0.5</v>
      </c>
      <c r="L35" s="2">
        <v>0</v>
      </c>
      <c r="M35" s="2">
        <v>1</v>
      </c>
    </row>
    <row r="36" spans="1:13">
      <c r="A36" s="15">
        <v>35</v>
      </c>
      <c r="B36" s="2">
        <v>12</v>
      </c>
      <c r="C36" s="2">
        <v>36</v>
      </c>
      <c r="D36" s="2">
        <f>0.012453*(12.67^2/1)</f>
        <v>1.9990663917</v>
      </c>
      <c r="E36" s="2">
        <f>0.0012453*(12.67^2/1)</f>
        <v>0.19990663916999998</v>
      </c>
      <c r="F36" s="6">
        <v>0</v>
      </c>
      <c r="G36" s="2">
        <v>0</v>
      </c>
      <c r="H36" s="6">
        <v>0</v>
      </c>
      <c r="I36" s="2">
        <v>0.5</v>
      </c>
      <c r="J36" s="2">
        <v>0.5</v>
      </c>
      <c r="K36" s="2">
        <v>0.5</v>
      </c>
      <c r="L36" s="2">
        <v>0</v>
      </c>
      <c r="M36" s="2">
        <v>1</v>
      </c>
    </row>
    <row r="37" spans="1:13">
      <c r="A37" s="15">
        <v>36</v>
      </c>
      <c r="B37" s="2">
        <v>22</v>
      </c>
      <c r="C37" s="2">
        <v>37</v>
      </c>
      <c r="D37" s="2">
        <f>0.003113*(12.67^2/1)</f>
        <v>0.49972646569999996</v>
      </c>
      <c r="E37" s="2">
        <f>0.003113*(12.67^2/1)</f>
        <v>0.49972646569999996</v>
      </c>
      <c r="F37" s="6">
        <v>0</v>
      </c>
      <c r="G37" s="2">
        <v>0</v>
      </c>
      <c r="H37" s="6">
        <v>0</v>
      </c>
      <c r="I37" s="2">
        <v>0.5</v>
      </c>
      <c r="J37" s="2">
        <v>0.5</v>
      </c>
      <c r="K37" s="2">
        <v>0.5</v>
      </c>
      <c r="L37" s="2">
        <v>0</v>
      </c>
      <c r="M37" s="2">
        <v>1</v>
      </c>
    </row>
    <row r="38" spans="1:13">
      <c r="A38" s="15">
        <v>37</v>
      </c>
      <c r="B38" s="2">
        <v>25</v>
      </c>
      <c r="C38" s="2">
        <v>38</v>
      </c>
      <c r="D38" s="2">
        <f>0.003113*(12.67^2/1)</f>
        <v>0.49972646569999996</v>
      </c>
      <c r="E38" s="2">
        <f>0.003113*(12.67^2/1)</f>
        <v>0.49972646569999996</v>
      </c>
      <c r="F38" s="6">
        <v>0</v>
      </c>
      <c r="G38" s="2">
        <v>0</v>
      </c>
      <c r="H38" s="6">
        <v>0</v>
      </c>
      <c r="I38" s="2">
        <v>0.1</v>
      </c>
      <c r="J38" s="2">
        <v>0.1</v>
      </c>
      <c r="K38" s="2">
        <v>0.1</v>
      </c>
      <c r="L38" s="2">
        <v>0</v>
      </c>
      <c r="M38" s="2">
        <v>1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202AA-9F7D-1348-A379-963F58ECD25E}">
  <dimension ref="A1:K5"/>
  <sheetViews>
    <sheetView workbookViewId="0">
      <selection activeCell="D3" sqref="D3:D5"/>
    </sheetView>
  </sheetViews>
  <sheetFormatPr baseColWidth="10" defaultColWidth="11.5703125" defaultRowHeight="18"/>
  <cols>
    <col min="2" max="2" width="27.42578125" customWidth="1"/>
    <col min="3" max="3" width="30" customWidth="1"/>
    <col min="8" max="8" width="14.140625" customWidth="1"/>
  </cols>
  <sheetData>
    <row r="1" spans="1:11" ht="76">
      <c r="A1" s="3" t="s">
        <v>52</v>
      </c>
      <c r="B1" s="14" t="s">
        <v>38</v>
      </c>
      <c r="C1" s="14" t="s">
        <v>53</v>
      </c>
      <c r="D1" s="4" t="s">
        <v>36</v>
      </c>
      <c r="E1" s="4" t="s">
        <v>37</v>
      </c>
      <c r="F1" s="4" t="s">
        <v>39</v>
      </c>
      <c r="G1" s="4" t="s">
        <v>40</v>
      </c>
      <c r="H1" s="4" t="s">
        <v>54</v>
      </c>
      <c r="I1" s="4" t="s">
        <v>55</v>
      </c>
      <c r="J1" s="4" t="s">
        <v>81</v>
      </c>
      <c r="K1" s="4" t="s">
        <v>80</v>
      </c>
    </row>
    <row r="2" spans="1:11">
      <c r="A2" s="2">
        <v>34</v>
      </c>
      <c r="B2" s="2">
        <v>3</v>
      </c>
      <c r="C2" s="2">
        <v>1</v>
      </c>
      <c r="D2" s="2">
        <v>10</v>
      </c>
      <c r="E2" s="2">
        <v>5</v>
      </c>
      <c r="F2" s="2">
        <f xml:space="preserve"> 3715000/4</f>
        <v>928750</v>
      </c>
      <c r="G2" s="2">
        <f xml:space="preserve"> 2300000/4</f>
        <v>575000</v>
      </c>
      <c r="H2" s="2">
        <v>1</v>
      </c>
      <c r="I2" s="2">
        <v>1</v>
      </c>
      <c r="J2" s="2">
        <v>1</v>
      </c>
      <c r="K2" s="2">
        <v>0</v>
      </c>
    </row>
    <row r="3" spans="1:11">
      <c r="A3" s="2">
        <v>35</v>
      </c>
      <c r="B3" s="2">
        <v>3</v>
      </c>
      <c r="C3" s="2">
        <v>1</v>
      </c>
      <c r="D3" s="2">
        <v>10</v>
      </c>
      <c r="E3" s="2">
        <v>5</v>
      </c>
      <c r="F3" s="2">
        <f t="shared" ref="F3:F5" si="0" xml:space="preserve"> 3715000/4</f>
        <v>928750</v>
      </c>
      <c r="G3" s="2">
        <f t="shared" ref="G3:G5" si="1" xml:space="preserve"> 2300000/4</f>
        <v>575000</v>
      </c>
      <c r="H3" s="2">
        <v>1</v>
      </c>
      <c r="I3" s="2">
        <v>1</v>
      </c>
      <c r="J3" s="2">
        <v>1</v>
      </c>
      <c r="K3" s="2">
        <v>0</v>
      </c>
    </row>
    <row r="4" spans="1:11">
      <c r="A4" s="2">
        <v>36</v>
      </c>
      <c r="B4" s="2">
        <v>3</v>
      </c>
      <c r="C4" s="2">
        <v>1</v>
      </c>
      <c r="D4" s="2">
        <v>10</v>
      </c>
      <c r="E4" s="2">
        <v>5</v>
      </c>
      <c r="F4" s="2">
        <f t="shared" si="0"/>
        <v>928750</v>
      </c>
      <c r="G4" s="2">
        <f t="shared" si="1"/>
        <v>575000</v>
      </c>
      <c r="H4" s="2">
        <v>1</v>
      </c>
      <c r="I4" s="2">
        <v>1</v>
      </c>
      <c r="J4" s="2">
        <v>1</v>
      </c>
      <c r="K4" s="2">
        <v>0</v>
      </c>
    </row>
    <row r="5" spans="1:11">
      <c r="A5" s="2">
        <v>37</v>
      </c>
      <c r="B5" s="2">
        <v>3</v>
      </c>
      <c r="C5" s="2">
        <v>1</v>
      </c>
      <c r="D5" s="2">
        <v>10</v>
      </c>
      <c r="E5" s="2">
        <v>5</v>
      </c>
      <c r="F5" s="2">
        <f t="shared" si="0"/>
        <v>928750</v>
      </c>
      <c r="G5" s="2">
        <f t="shared" si="1"/>
        <v>575000</v>
      </c>
      <c r="H5" s="2">
        <v>1</v>
      </c>
      <c r="I5" s="2">
        <v>1</v>
      </c>
      <c r="J5" s="2">
        <v>1</v>
      </c>
      <c r="K5" s="2">
        <v>0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CA12E-6C8C-074F-84A4-8C98A284A6D6}">
  <dimension ref="A1:AD1"/>
  <sheetViews>
    <sheetView zoomScale="120" zoomScaleNormal="120" workbookViewId="0">
      <selection activeCell="A2" sqref="A2:XFD2"/>
    </sheetView>
  </sheetViews>
  <sheetFormatPr baseColWidth="10" defaultRowHeight="18"/>
  <cols>
    <col min="26" max="27" width="19.28515625" bestFit="1" customWidth="1"/>
    <col min="30" max="30" width="18.140625" bestFit="1" customWidth="1"/>
  </cols>
  <sheetData>
    <row r="1" spans="1:30">
      <c r="A1" s="3" t="s">
        <v>83</v>
      </c>
      <c r="B1" s="3" t="s">
        <v>84</v>
      </c>
      <c r="C1" s="3" t="s">
        <v>85</v>
      </c>
      <c r="D1" s="3" t="s">
        <v>86</v>
      </c>
      <c r="E1" s="3" t="s">
        <v>87</v>
      </c>
      <c r="F1" s="3" t="s">
        <v>88</v>
      </c>
      <c r="G1" s="3" t="s">
        <v>89</v>
      </c>
      <c r="H1" s="3" t="s">
        <v>90</v>
      </c>
      <c r="I1" s="3" t="s">
        <v>91</v>
      </c>
      <c r="J1" s="3" t="s">
        <v>92</v>
      </c>
      <c r="K1" s="3" t="s">
        <v>93</v>
      </c>
      <c r="L1" s="3" t="s">
        <v>94</v>
      </c>
      <c r="M1" s="3" t="s">
        <v>95</v>
      </c>
      <c r="N1" s="3" t="s">
        <v>96</v>
      </c>
      <c r="O1" s="3" t="s">
        <v>97</v>
      </c>
      <c r="P1" s="3" t="s">
        <v>98</v>
      </c>
      <c r="Q1" s="3" t="s">
        <v>99</v>
      </c>
      <c r="R1" s="3" t="s">
        <v>100</v>
      </c>
      <c r="S1" s="3" t="s">
        <v>101</v>
      </c>
      <c r="T1" s="3" t="s">
        <v>102</v>
      </c>
      <c r="U1" s="3" t="s">
        <v>103</v>
      </c>
      <c r="V1" s="3" t="s">
        <v>104</v>
      </c>
      <c r="W1" s="3" t="s">
        <v>105</v>
      </c>
      <c r="X1" s="3" t="s">
        <v>106</v>
      </c>
      <c r="Y1" s="3" t="s">
        <v>107</v>
      </c>
      <c r="Z1" s="3" t="s">
        <v>108</v>
      </c>
      <c r="AA1" s="3" t="s">
        <v>109</v>
      </c>
      <c r="AB1" s="3" t="s">
        <v>110</v>
      </c>
      <c r="AC1" s="3" t="s">
        <v>111</v>
      </c>
      <c r="AD1" s="3" t="s">
        <v>112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5B29B-50D1-F240-AB1B-EEE7314E6086}">
  <dimension ref="A1:Y42"/>
  <sheetViews>
    <sheetView zoomScaleNormal="100" workbookViewId="0">
      <selection activeCell="D2" sqref="D2"/>
    </sheetView>
  </sheetViews>
  <sheetFormatPr baseColWidth="10" defaultColWidth="11.5703125" defaultRowHeight="18"/>
  <sheetData>
    <row r="1" spans="1:25" s="1" customFormat="1">
      <c r="A1" s="3" t="s">
        <v>43</v>
      </c>
      <c r="B1" s="3">
        <v>1</v>
      </c>
      <c r="C1" s="3">
        <v>2</v>
      </c>
      <c r="D1" s="3">
        <v>3</v>
      </c>
      <c r="E1" s="3">
        <v>4</v>
      </c>
      <c r="F1" s="3">
        <v>5</v>
      </c>
      <c r="G1" s="3">
        <v>6</v>
      </c>
      <c r="H1" s="3">
        <v>7</v>
      </c>
      <c r="I1" s="3">
        <v>8</v>
      </c>
      <c r="J1" s="3">
        <v>9</v>
      </c>
      <c r="K1" s="3">
        <v>10</v>
      </c>
      <c r="L1" s="3">
        <v>11</v>
      </c>
      <c r="M1" s="3">
        <v>12</v>
      </c>
      <c r="N1" s="3">
        <v>13</v>
      </c>
      <c r="O1" s="3">
        <v>14</v>
      </c>
      <c r="P1" s="3">
        <v>15</v>
      </c>
      <c r="Q1" s="3">
        <v>16</v>
      </c>
      <c r="R1" s="3">
        <v>17</v>
      </c>
      <c r="S1" s="3">
        <v>18</v>
      </c>
      <c r="T1" s="3">
        <v>19</v>
      </c>
      <c r="U1" s="3">
        <v>20</v>
      </c>
      <c r="V1" s="3">
        <v>21</v>
      </c>
      <c r="W1" s="3">
        <v>22</v>
      </c>
      <c r="X1" s="3">
        <v>23</v>
      </c>
      <c r="Y1" s="3">
        <v>24</v>
      </c>
    </row>
    <row r="2" spans="1:25">
      <c r="A2" s="3">
        <v>1</v>
      </c>
      <c r="B2" s="2">
        <f t="shared" ref="B2:Y3" si="0">0.05*1000000</f>
        <v>50000</v>
      </c>
      <c r="C2" s="2">
        <f>0.05*1000000*1.3</f>
        <v>65000</v>
      </c>
      <c r="D2" s="2">
        <f>0.05*1000000*0.55</f>
        <v>27500.000000000004</v>
      </c>
      <c r="E2" s="2">
        <f>0.05*1000000*1.3</f>
        <v>65000</v>
      </c>
      <c r="F2" s="2">
        <f t="shared" si="0"/>
        <v>50000</v>
      </c>
      <c r="G2" s="2">
        <f>0.05*1000000*0.55</f>
        <v>27500.000000000004</v>
      </c>
      <c r="H2" s="2">
        <f t="shared" si="0"/>
        <v>50000</v>
      </c>
      <c r="I2" s="2">
        <f t="shared" si="0"/>
        <v>50000</v>
      </c>
      <c r="J2" s="2">
        <f t="shared" si="0"/>
        <v>50000</v>
      </c>
      <c r="K2" s="2">
        <f t="shared" si="0"/>
        <v>50000</v>
      </c>
      <c r="L2" s="2">
        <f t="shared" si="0"/>
        <v>50000</v>
      </c>
      <c r="M2" s="2">
        <f t="shared" si="0"/>
        <v>50000</v>
      </c>
      <c r="N2" s="2">
        <f t="shared" si="0"/>
        <v>50000</v>
      </c>
      <c r="O2" s="2">
        <f t="shared" si="0"/>
        <v>50000</v>
      </c>
      <c r="P2" s="2">
        <f t="shared" si="0"/>
        <v>50000</v>
      </c>
      <c r="Q2" s="2">
        <f t="shared" si="0"/>
        <v>50000</v>
      </c>
      <c r="R2" s="2">
        <f t="shared" si="0"/>
        <v>50000</v>
      </c>
      <c r="S2" s="2">
        <f t="shared" si="0"/>
        <v>50000</v>
      </c>
      <c r="T2" s="2">
        <f t="shared" si="0"/>
        <v>50000</v>
      </c>
      <c r="U2" s="2">
        <f t="shared" si="0"/>
        <v>50000</v>
      </c>
      <c r="V2" s="2">
        <f t="shared" si="0"/>
        <v>50000</v>
      </c>
      <c r="W2" s="2">
        <f t="shared" si="0"/>
        <v>50000</v>
      </c>
      <c r="X2" s="2">
        <f t="shared" si="0"/>
        <v>50000</v>
      </c>
      <c r="Y2" s="2">
        <f t="shared" si="0"/>
        <v>50000</v>
      </c>
    </row>
    <row r="3" spans="1:25">
      <c r="A3" s="3">
        <v>2</v>
      </c>
      <c r="B3" s="2">
        <f t="shared" si="0"/>
        <v>50000</v>
      </c>
      <c r="C3" s="2">
        <f>0.05*1000000*1.3</f>
        <v>65000</v>
      </c>
      <c r="D3" s="2">
        <f>0.05*1000000*0.55</f>
        <v>27500.000000000004</v>
      </c>
      <c r="E3" s="2">
        <f>0.05*1000000*1.3</f>
        <v>65000</v>
      </c>
      <c r="F3" s="2">
        <f t="shared" si="0"/>
        <v>50000</v>
      </c>
      <c r="G3" s="2">
        <f>0.05*1000000*0.55</f>
        <v>27500.000000000004</v>
      </c>
      <c r="H3" s="2">
        <f t="shared" si="0"/>
        <v>50000</v>
      </c>
      <c r="I3" s="2">
        <f t="shared" si="0"/>
        <v>50000</v>
      </c>
      <c r="J3" s="2">
        <f t="shared" si="0"/>
        <v>50000</v>
      </c>
      <c r="K3" s="2">
        <f t="shared" si="0"/>
        <v>50000</v>
      </c>
      <c r="L3" s="2">
        <f t="shared" si="0"/>
        <v>50000</v>
      </c>
      <c r="M3" s="2">
        <f t="shared" si="0"/>
        <v>50000</v>
      </c>
      <c r="N3" s="2">
        <f t="shared" si="0"/>
        <v>50000</v>
      </c>
      <c r="O3" s="2">
        <f t="shared" si="0"/>
        <v>50000</v>
      </c>
      <c r="P3" s="2">
        <f t="shared" si="0"/>
        <v>50000</v>
      </c>
      <c r="Q3" s="2">
        <f t="shared" si="0"/>
        <v>50000</v>
      </c>
      <c r="R3" s="2">
        <f t="shared" si="0"/>
        <v>50000</v>
      </c>
      <c r="S3" s="2">
        <f t="shared" si="0"/>
        <v>50000</v>
      </c>
      <c r="T3" s="2">
        <f t="shared" si="0"/>
        <v>50000</v>
      </c>
      <c r="U3" s="2">
        <f t="shared" si="0"/>
        <v>50000</v>
      </c>
      <c r="V3" s="2">
        <f t="shared" si="0"/>
        <v>50000</v>
      </c>
      <c r="W3" s="2">
        <f t="shared" si="0"/>
        <v>50000</v>
      </c>
      <c r="X3" s="2">
        <f t="shared" si="0"/>
        <v>50000</v>
      </c>
      <c r="Y3" s="2">
        <f t="shared" si="0"/>
        <v>50000</v>
      </c>
    </row>
    <row r="4" spans="1:25">
      <c r="A4" s="3">
        <v>3</v>
      </c>
      <c r="B4" s="2">
        <f t="shared" ref="B4:Y4" si="1">0.09*1000000</f>
        <v>90000</v>
      </c>
      <c r="C4" s="2">
        <f>0.09*1000000*1.3</f>
        <v>117000</v>
      </c>
      <c r="D4" s="2">
        <f>0.09*1000000*0.55</f>
        <v>49500.000000000007</v>
      </c>
      <c r="E4" s="2">
        <f>0.09*1000000*1.3</f>
        <v>117000</v>
      </c>
      <c r="F4" s="2">
        <f t="shared" si="1"/>
        <v>90000</v>
      </c>
      <c r="G4" s="2">
        <f>0.09*1000000*0.55</f>
        <v>49500.000000000007</v>
      </c>
      <c r="H4" s="2">
        <f t="shared" si="1"/>
        <v>90000</v>
      </c>
      <c r="I4" s="2">
        <f t="shared" si="1"/>
        <v>90000</v>
      </c>
      <c r="J4" s="2">
        <f t="shared" si="1"/>
        <v>90000</v>
      </c>
      <c r="K4" s="2">
        <f t="shared" si="1"/>
        <v>90000</v>
      </c>
      <c r="L4" s="2">
        <f t="shared" si="1"/>
        <v>90000</v>
      </c>
      <c r="M4" s="2">
        <f t="shared" si="1"/>
        <v>90000</v>
      </c>
      <c r="N4" s="2">
        <f t="shared" si="1"/>
        <v>90000</v>
      </c>
      <c r="O4" s="2">
        <f t="shared" si="1"/>
        <v>90000</v>
      </c>
      <c r="P4" s="2">
        <f t="shared" si="1"/>
        <v>90000</v>
      </c>
      <c r="Q4" s="2">
        <f t="shared" si="1"/>
        <v>90000</v>
      </c>
      <c r="R4" s="2">
        <f t="shared" si="1"/>
        <v>90000</v>
      </c>
      <c r="S4" s="2">
        <f t="shared" si="1"/>
        <v>90000</v>
      </c>
      <c r="T4" s="2">
        <f t="shared" si="1"/>
        <v>90000</v>
      </c>
      <c r="U4" s="2">
        <f t="shared" si="1"/>
        <v>90000</v>
      </c>
      <c r="V4" s="2">
        <f t="shared" si="1"/>
        <v>90000</v>
      </c>
      <c r="W4" s="2">
        <f t="shared" si="1"/>
        <v>90000</v>
      </c>
      <c r="X4" s="2">
        <f t="shared" si="1"/>
        <v>90000</v>
      </c>
      <c r="Y4" s="2">
        <f t="shared" si="1"/>
        <v>90000</v>
      </c>
    </row>
    <row r="5" spans="1:25">
      <c r="A5" s="3">
        <v>4</v>
      </c>
      <c r="B5" s="2">
        <f t="shared" ref="B5:Y5" si="2">0.12*1000000</f>
        <v>120000</v>
      </c>
      <c r="C5" s="2">
        <f>0.12*1000000*1.3</f>
        <v>156000</v>
      </c>
      <c r="D5" s="2">
        <f>0.12*1000000*0.55</f>
        <v>66000</v>
      </c>
      <c r="E5" s="2">
        <f>0.12*1000000*1.3</f>
        <v>156000</v>
      </c>
      <c r="F5" s="2">
        <f t="shared" si="2"/>
        <v>120000</v>
      </c>
      <c r="G5" s="2">
        <f>0.12*1000000*0.55</f>
        <v>66000</v>
      </c>
      <c r="H5" s="2">
        <f t="shared" si="2"/>
        <v>120000</v>
      </c>
      <c r="I5" s="2">
        <f t="shared" si="2"/>
        <v>120000</v>
      </c>
      <c r="J5" s="2">
        <f t="shared" si="2"/>
        <v>120000</v>
      </c>
      <c r="K5" s="2">
        <f t="shared" si="2"/>
        <v>120000</v>
      </c>
      <c r="L5" s="2">
        <f t="shared" si="2"/>
        <v>120000</v>
      </c>
      <c r="M5" s="2">
        <f t="shared" si="2"/>
        <v>120000</v>
      </c>
      <c r="N5" s="2">
        <f t="shared" si="2"/>
        <v>120000</v>
      </c>
      <c r="O5" s="2">
        <f t="shared" si="2"/>
        <v>120000</v>
      </c>
      <c r="P5" s="2">
        <f t="shared" si="2"/>
        <v>120000</v>
      </c>
      <c r="Q5" s="2">
        <f t="shared" si="2"/>
        <v>120000</v>
      </c>
      <c r="R5" s="2">
        <f t="shared" si="2"/>
        <v>120000</v>
      </c>
      <c r="S5" s="2">
        <f t="shared" si="2"/>
        <v>120000</v>
      </c>
      <c r="T5" s="2">
        <f t="shared" si="2"/>
        <v>120000</v>
      </c>
      <c r="U5" s="2">
        <f t="shared" si="2"/>
        <v>120000</v>
      </c>
      <c r="V5" s="2">
        <f t="shared" si="2"/>
        <v>120000</v>
      </c>
      <c r="W5" s="2">
        <f t="shared" si="2"/>
        <v>120000</v>
      </c>
      <c r="X5" s="2">
        <f t="shared" si="2"/>
        <v>120000</v>
      </c>
      <c r="Y5" s="2">
        <f t="shared" si="2"/>
        <v>120000</v>
      </c>
    </row>
    <row r="6" spans="1:25">
      <c r="A6" s="3">
        <v>5</v>
      </c>
      <c r="B6" s="2">
        <f t="shared" ref="B6:Y7" si="3">0.06*1000000</f>
        <v>60000</v>
      </c>
      <c r="C6" s="2">
        <f>0.06*1000000*1.3</f>
        <v>78000</v>
      </c>
      <c r="D6" s="2">
        <f>0.06*1000000*0.55</f>
        <v>33000</v>
      </c>
      <c r="E6" s="2">
        <f>0.06*1000000*1.3</f>
        <v>78000</v>
      </c>
      <c r="F6" s="2">
        <f t="shared" si="3"/>
        <v>60000</v>
      </c>
      <c r="G6" s="2">
        <f>0.06*1000000*0.55</f>
        <v>33000</v>
      </c>
      <c r="H6" s="2">
        <f t="shared" si="3"/>
        <v>60000</v>
      </c>
      <c r="I6" s="2">
        <f t="shared" si="3"/>
        <v>60000</v>
      </c>
      <c r="J6" s="2">
        <f t="shared" si="3"/>
        <v>60000</v>
      </c>
      <c r="K6" s="2">
        <f t="shared" si="3"/>
        <v>60000</v>
      </c>
      <c r="L6" s="2">
        <f t="shared" si="3"/>
        <v>60000</v>
      </c>
      <c r="M6" s="2">
        <f t="shared" si="3"/>
        <v>60000</v>
      </c>
      <c r="N6" s="2">
        <f t="shared" si="3"/>
        <v>60000</v>
      </c>
      <c r="O6" s="2">
        <f t="shared" si="3"/>
        <v>60000</v>
      </c>
      <c r="P6" s="2">
        <f t="shared" si="3"/>
        <v>60000</v>
      </c>
      <c r="Q6" s="2">
        <f t="shared" si="3"/>
        <v>60000</v>
      </c>
      <c r="R6" s="2">
        <f t="shared" si="3"/>
        <v>60000</v>
      </c>
      <c r="S6" s="2">
        <f t="shared" si="3"/>
        <v>60000</v>
      </c>
      <c r="T6" s="2">
        <f t="shared" si="3"/>
        <v>60000</v>
      </c>
      <c r="U6" s="2">
        <f t="shared" si="3"/>
        <v>60000</v>
      </c>
      <c r="V6" s="2">
        <f t="shared" si="3"/>
        <v>60000</v>
      </c>
      <c r="W6" s="2">
        <f t="shared" si="3"/>
        <v>60000</v>
      </c>
      <c r="X6" s="2">
        <f t="shared" si="3"/>
        <v>60000</v>
      </c>
      <c r="Y6" s="2">
        <f t="shared" si="3"/>
        <v>60000</v>
      </c>
    </row>
    <row r="7" spans="1:25">
      <c r="A7" s="3">
        <v>6</v>
      </c>
      <c r="B7" s="2">
        <f t="shared" si="3"/>
        <v>60000</v>
      </c>
      <c r="C7" s="2">
        <f>0.06*1000000*1.3</f>
        <v>78000</v>
      </c>
      <c r="D7" s="2">
        <f>0.06*1000000*0.55</f>
        <v>33000</v>
      </c>
      <c r="E7" s="2">
        <f>0.06*1000000*1.3</f>
        <v>78000</v>
      </c>
      <c r="F7" s="2">
        <f t="shared" si="3"/>
        <v>60000</v>
      </c>
      <c r="G7" s="2">
        <f>0.06*1000000*0.55</f>
        <v>33000</v>
      </c>
      <c r="H7" s="2">
        <f t="shared" si="3"/>
        <v>60000</v>
      </c>
      <c r="I7" s="2">
        <f t="shared" si="3"/>
        <v>60000</v>
      </c>
      <c r="J7" s="2">
        <f t="shared" si="3"/>
        <v>60000</v>
      </c>
      <c r="K7" s="2">
        <f t="shared" si="3"/>
        <v>60000</v>
      </c>
      <c r="L7" s="2">
        <f t="shared" si="3"/>
        <v>60000</v>
      </c>
      <c r="M7" s="2">
        <f t="shared" si="3"/>
        <v>60000</v>
      </c>
      <c r="N7" s="2">
        <f t="shared" si="3"/>
        <v>60000</v>
      </c>
      <c r="O7" s="2">
        <f t="shared" si="3"/>
        <v>60000</v>
      </c>
      <c r="P7" s="2">
        <f t="shared" si="3"/>
        <v>60000</v>
      </c>
      <c r="Q7" s="2">
        <f t="shared" si="3"/>
        <v>60000</v>
      </c>
      <c r="R7" s="2">
        <f t="shared" si="3"/>
        <v>60000</v>
      </c>
      <c r="S7" s="2">
        <f t="shared" si="3"/>
        <v>60000</v>
      </c>
      <c r="T7" s="2">
        <f t="shared" si="3"/>
        <v>60000</v>
      </c>
      <c r="U7" s="2">
        <f t="shared" si="3"/>
        <v>60000</v>
      </c>
      <c r="V7" s="2">
        <f t="shared" si="3"/>
        <v>60000</v>
      </c>
      <c r="W7" s="2">
        <f t="shared" si="3"/>
        <v>60000</v>
      </c>
      <c r="X7" s="2">
        <f t="shared" si="3"/>
        <v>60000</v>
      </c>
      <c r="Y7" s="2">
        <f t="shared" si="3"/>
        <v>60000</v>
      </c>
    </row>
    <row r="8" spans="1:25">
      <c r="A8" s="3">
        <v>7</v>
      </c>
      <c r="B8" s="2">
        <f t="shared" ref="B8:Y9" si="4">0.2*1000000</f>
        <v>200000</v>
      </c>
      <c r="C8" s="2">
        <f>0.2*1000000*1.3</f>
        <v>260000</v>
      </c>
      <c r="D8" s="2">
        <f>0.2*1000000*0.55</f>
        <v>110000.00000000001</v>
      </c>
      <c r="E8" s="2">
        <f>0.2*1000000*1.3</f>
        <v>260000</v>
      </c>
      <c r="F8" s="2">
        <f t="shared" si="4"/>
        <v>200000</v>
      </c>
      <c r="G8" s="2">
        <f>0.2*1000000*0.55</f>
        <v>110000.00000000001</v>
      </c>
      <c r="H8" s="2">
        <f t="shared" si="4"/>
        <v>200000</v>
      </c>
      <c r="I8" s="2">
        <f t="shared" si="4"/>
        <v>200000</v>
      </c>
      <c r="J8" s="2">
        <f t="shared" si="4"/>
        <v>200000</v>
      </c>
      <c r="K8" s="2">
        <f t="shared" si="4"/>
        <v>200000</v>
      </c>
      <c r="L8" s="2">
        <f t="shared" si="4"/>
        <v>200000</v>
      </c>
      <c r="M8" s="2">
        <f t="shared" si="4"/>
        <v>200000</v>
      </c>
      <c r="N8" s="2">
        <f t="shared" si="4"/>
        <v>200000</v>
      </c>
      <c r="O8" s="2">
        <f t="shared" si="4"/>
        <v>200000</v>
      </c>
      <c r="P8" s="2">
        <f t="shared" si="4"/>
        <v>200000</v>
      </c>
      <c r="Q8" s="2">
        <f t="shared" si="4"/>
        <v>200000</v>
      </c>
      <c r="R8" s="2">
        <f t="shared" si="4"/>
        <v>200000</v>
      </c>
      <c r="S8" s="2">
        <f t="shared" si="4"/>
        <v>200000</v>
      </c>
      <c r="T8" s="2">
        <f t="shared" si="4"/>
        <v>200000</v>
      </c>
      <c r="U8" s="2">
        <f t="shared" si="4"/>
        <v>200000</v>
      </c>
      <c r="V8" s="2">
        <f t="shared" si="4"/>
        <v>200000</v>
      </c>
      <c r="W8" s="2">
        <f t="shared" si="4"/>
        <v>200000</v>
      </c>
      <c r="X8" s="2">
        <f t="shared" si="4"/>
        <v>200000</v>
      </c>
      <c r="Y8" s="2">
        <f t="shared" si="4"/>
        <v>200000</v>
      </c>
    </row>
    <row r="9" spans="1:25">
      <c r="A9" s="3">
        <v>8</v>
      </c>
      <c r="B9" s="2">
        <f t="shared" si="4"/>
        <v>200000</v>
      </c>
      <c r="C9" s="2">
        <f>0.2*1000000*1.3</f>
        <v>260000</v>
      </c>
      <c r="D9" s="2">
        <f>0.2*1000000*0.55</f>
        <v>110000.00000000001</v>
      </c>
      <c r="E9" s="2">
        <f>0.2*1000000*1.3</f>
        <v>260000</v>
      </c>
      <c r="F9" s="2">
        <f t="shared" si="4"/>
        <v>200000</v>
      </c>
      <c r="G9" s="2">
        <f>0.2*1000000*0.55</f>
        <v>110000.00000000001</v>
      </c>
      <c r="H9" s="2">
        <f t="shared" si="4"/>
        <v>200000</v>
      </c>
      <c r="I9" s="2">
        <f t="shared" si="4"/>
        <v>200000</v>
      </c>
      <c r="J9" s="2">
        <f t="shared" si="4"/>
        <v>200000</v>
      </c>
      <c r="K9" s="2">
        <f t="shared" si="4"/>
        <v>200000</v>
      </c>
      <c r="L9" s="2">
        <f t="shared" si="4"/>
        <v>200000</v>
      </c>
      <c r="M9" s="2">
        <f t="shared" si="4"/>
        <v>200000</v>
      </c>
      <c r="N9" s="2">
        <f t="shared" si="4"/>
        <v>200000</v>
      </c>
      <c r="O9" s="2">
        <f t="shared" si="4"/>
        <v>200000</v>
      </c>
      <c r="P9" s="2">
        <f t="shared" si="4"/>
        <v>200000</v>
      </c>
      <c r="Q9" s="2">
        <f t="shared" si="4"/>
        <v>200000</v>
      </c>
      <c r="R9" s="2">
        <f t="shared" si="4"/>
        <v>200000</v>
      </c>
      <c r="S9" s="2">
        <f t="shared" si="4"/>
        <v>200000</v>
      </c>
      <c r="T9" s="2">
        <f t="shared" si="4"/>
        <v>200000</v>
      </c>
      <c r="U9" s="2">
        <f t="shared" si="4"/>
        <v>200000</v>
      </c>
      <c r="V9" s="2">
        <f t="shared" si="4"/>
        <v>200000</v>
      </c>
      <c r="W9" s="2">
        <f t="shared" si="4"/>
        <v>200000</v>
      </c>
      <c r="X9" s="2">
        <f t="shared" si="4"/>
        <v>200000</v>
      </c>
      <c r="Y9" s="2">
        <f t="shared" si="4"/>
        <v>200000</v>
      </c>
    </row>
    <row r="10" spans="1:25">
      <c r="A10" s="3">
        <v>9</v>
      </c>
      <c r="B10" s="2">
        <f t="shared" ref="B10:Y11" si="5">0.06*1000000</f>
        <v>60000</v>
      </c>
      <c r="C10" s="2">
        <f>0.06*1000000*1.3</f>
        <v>78000</v>
      </c>
      <c r="D10" s="2">
        <f>0.06*1000000*0.55</f>
        <v>33000</v>
      </c>
      <c r="E10" s="2">
        <f>0.06*1000000*1.3</f>
        <v>78000</v>
      </c>
      <c r="F10" s="2">
        <f t="shared" si="5"/>
        <v>60000</v>
      </c>
      <c r="G10" s="2">
        <f>0.06*1000000*0.55</f>
        <v>33000</v>
      </c>
      <c r="H10" s="2">
        <f t="shared" si="5"/>
        <v>60000</v>
      </c>
      <c r="I10" s="2">
        <f t="shared" si="5"/>
        <v>60000</v>
      </c>
      <c r="J10" s="2">
        <f t="shared" si="5"/>
        <v>60000</v>
      </c>
      <c r="K10" s="2">
        <f t="shared" si="5"/>
        <v>60000</v>
      </c>
      <c r="L10" s="2">
        <f t="shared" si="5"/>
        <v>60000</v>
      </c>
      <c r="M10" s="2">
        <f t="shared" si="5"/>
        <v>60000</v>
      </c>
      <c r="N10" s="2">
        <f t="shared" si="5"/>
        <v>60000</v>
      </c>
      <c r="O10" s="2">
        <f t="shared" si="5"/>
        <v>60000</v>
      </c>
      <c r="P10" s="2">
        <f t="shared" si="5"/>
        <v>60000</v>
      </c>
      <c r="Q10" s="2">
        <f t="shared" si="5"/>
        <v>60000</v>
      </c>
      <c r="R10" s="2">
        <f t="shared" si="5"/>
        <v>60000</v>
      </c>
      <c r="S10" s="2">
        <f t="shared" si="5"/>
        <v>60000</v>
      </c>
      <c r="T10" s="2">
        <f t="shared" si="5"/>
        <v>60000</v>
      </c>
      <c r="U10" s="2">
        <f t="shared" si="5"/>
        <v>60000</v>
      </c>
      <c r="V10" s="2">
        <f t="shared" si="5"/>
        <v>60000</v>
      </c>
      <c r="W10" s="2">
        <f t="shared" si="5"/>
        <v>60000</v>
      </c>
      <c r="X10" s="2">
        <f t="shared" si="5"/>
        <v>60000</v>
      </c>
      <c r="Y10" s="2">
        <f t="shared" si="5"/>
        <v>60000</v>
      </c>
    </row>
    <row r="11" spans="1:25">
      <c r="A11" s="3">
        <v>10</v>
      </c>
      <c r="B11" s="2">
        <f t="shared" si="5"/>
        <v>60000</v>
      </c>
      <c r="C11" s="2">
        <f>0.06*1000000*1.3</f>
        <v>78000</v>
      </c>
      <c r="D11" s="2">
        <f>0.06*1000000*0.55</f>
        <v>33000</v>
      </c>
      <c r="E11" s="2">
        <f>0.06*1000000*1.3</f>
        <v>78000</v>
      </c>
      <c r="F11" s="2">
        <f t="shared" si="5"/>
        <v>60000</v>
      </c>
      <c r="G11" s="2">
        <f>0.06*1000000*0.55</f>
        <v>33000</v>
      </c>
      <c r="H11" s="2">
        <f t="shared" si="5"/>
        <v>60000</v>
      </c>
      <c r="I11" s="2">
        <f t="shared" si="5"/>
        <v>60000</v>
      </c>
      <c r="J11" s="2">
        <f t="shared" si="5"/>
        <v>60000</v>
      </c>
      <c r="K11" s="2">
        <f t="shared" si="5"/>
        <v>60000</v>
      </c>
      <c r="L11" s="2">
        <f t="shared" si="5"/>
        <v>60000</v>
      </c>
      <c r="M11" s="2">
        <f t="shared" si="5"/>
        <v>60000</v>
      </c>
      <c r="N11" s="2">
        <f t="shared" si="5"/>
        <v>60000</v>
      </c>
      <c r="O11" s="2">
        <f t="shared" si="5"/>
        <v>60000</v>
      </c>
      <c r="P11" s="2">
        <f t="shared" si="5"/>
        <v>60000</v>
      </c>
      <c r="Q11" s="2">
        <f t="shared" si="5"/>
        <v>60000</v>
      </c>
      <c r="R11" s="2">
        <f t="shared" si="5"/>
        <v>60000</v>
      </c>
      <c r="S11" s="2">
        <f t="shared" si="5"/>
        <v>60000</v>
      </c>
      <c r="T11" s="2">
        <f t="shared" si="5"/>
        <v>60000</v>
      </c>
      <c r="U11" s="2">
        <f t="shared" si="5"/>
        <v>60000</v>
      </c>
      <c r="V11" s="2">
        <f t="shared" si="5"/>
        <v>60000</v>
      </c>
      <c r="W11" s="2">
        <f t="shared" si="5"/>
        <v>60000</v>
      </c>
      <c r="X11" s="2">
        <f t="shared" si="5"/>
        <v>60000</v>
      </c>
      <c r="Y11" s="2">
        <f t="shared" si="5"/>
        <v>60000</v>
      </c>
    </row>
    <row r="12" spans="1:25">
      <c r="A12" s="3">
        <v>11</v>
      </c>
      <c r="B12" s="2">
        <f t="shared" ref="B12:Y12" si="6">0.045*1000000</f>
        <v>45000</v>
      </c>
      <c r="C12" s="2">
        <f>0.045*1000000*1.3</f>
        <v>58500</v>
      </c>
      <c r="D12" s="2">
        <f>0.045*1000000*0.55</f>
        <v>24750.000000000004</v>
      </c>
      <c r="E12" s="2">
        <f>0.045*1000000*1.3</f>
        <v>58500</v>
      </c>
      <c r="F12" s="2">
        <f t="shared" si="6"/>
        <v>45000</v>
      </c>
      <c r="G12" s="2">
        <f>0.045*1000000*0.55</f>
        <v>24750.000000000004</v>
      </c>
      <c r="H12" s="2">
        <f t="shared" si="6"/>
        <v>45000</v>
      </c>
      <c r="I12" s="2">
        <f t="shared" si="6"/>
        <v>45000</v>
      </c>
      <c r="J12" s="2">
        <f t="shared" si="6"/>
        <v>45000</v>
      </c>
      <c r="K12" s="2">
        <f t="shared" si="6"/>
        <v>45000</v>
      </c>
      <c r="L12" s="2">
        <f t="shared" si="6"/>
        <v>45000</v>
      </c>
      <c r="M12" s="2">
        <f t="shared" si="6"/>
        <v>45000</v>
      </c>
      <c r="N12" s="2">
        <f t="shared" si="6"/>
        <v>45000</v>
      </c>
      <c r="O12" s="2">
        <f t="shared" si="6"/>
        <v>45000</v>
      </c>
      <c r="P12" s="2">
        <f t="shared" si="6"/>
        <v>45000</v>
      </c>
      <c r="Q12" s="2">
        <f t="shared" si="6"/>
        <v>45000</v>
      </c>
      <c r="R12" s="2">
        <f t="shared" si="6"/>
        <v>45000</v>
      </c>
      <c r="S12" s="2">
        <f t="shared" si="6"/>
        <v>45000</v>
      </c>
      <c r="T12" s="2">
        <f t="shared" si="6"/>
        <v>45000</v>
      </c>
      <c r="U12" s="2">
        <f t="shared" si="6"/>
        <v>45000</v>
      </c>
      <c r="V12" s="2">
        <f t="shared" si="6"/>
        <v>45000</v>
      </c>
      <c r="W12" s="2">
        <f t="shared" si="6"/>
        <v>45000</v>
      </c>
      <c r="X12" s="2">
        <f t="shared" si="6"/>
        <v>45000</v>
      </c>
      <c r="Y12" s="2">
        <f t="shared" si="6"/>
        <v>45000</v>
      </c>
    </row>
    <row r="13" spans="1:25">
      <c r="A13" s="3">
        <v>12</v>
      </c>
      <c r="B13" s="2">
        <f t="shared" ref="B13:Y14" si="7">0.06*1000000</f>
        <v>60000</v>
      </c>
      <c r="C13" s="2">
        <f>0.06*1000000*1.3</f>
        <v>78000</v>
      </c>
      <c r="D13" s="2">
        <f>0.06*1000000*0.55</f>
        <v>33000</v>
      </c>
      <c r="E13" s="2">
        <f>0.06*1000000*1.3</f>
        <v>78000</v>
      </c>
      <c r="F13" s="2">
        <f t="shared" si="7"/>
        <v>60000</v>
      </c>
      <c r="G13" s="2">
        <f>0.06*1000000*0.55</f>
        <v>33000</v>
      </c>
      <c r="H13" s="2">
        <f t="shared" si="7"/>
        <v>60000</v>
      </c>
      <c r="I13" s="2">
        <f t="shared" si="7"/>
        <v>60000</v>
      </c>
      <c r="J13" s="2">
        <f t="shared" si="7"/>
        <v>60000</v>
      </c>
      <c r="K13" s="2">
        <f t="shared" si="7"/>
        <v>60000</v>
      </c>
      <c r="L13" s="2">
        <f t="shared" si="7"/>
        <v>60000</v>
      </c>
      <c r="M13" s="2">
        <f t="shared" si="7"/>
        <v>60000</v>
      </c>
      <c r="N13" s="2">
        <f t="shared" si="7"/>
        <v>60000</v>
      </c>
      <c r="O13" s="2">
        <f t="shared" si="7"/>
        <v>60000</v>
      </c>
      <c r="P13" s="2">
        <f t="shared" si="7"/>
        <v>60000</v>
      </c>
      <c r="Q13" s="2">
        <f t="shared" si="7"/>
        <v>60000</v>
      </c>
      <c r="R13" s="2">
        <f t="shared" si="7"/>
        <v>60000</v>
      </c>
      <c r="S13" s="2">
        <f t="shared" si="7"/>
        <v>60000</v>
      </c>
      <c r="T13" s="2">
        <f t="shared" si="7"/>
        <v>60000</v>
      </c>
      <c r="U13" s="2">
        <f t="shared" si="7"/>
        <v>60000</v>
      </c>
      <c r="V13" s="2">
        <f t="shared" si="7"/>
        <v>60000</v>
      </c>
      <c r="W13" s="2">
        <f t="shared" si="7"/>
        <v>60000</v>
      </c>
      <c r="X13" s="2">
        <f t="shared" si="7"/>
        <v>60000</v>
      </c>
      <c r="Y13" s="2">
        <f t="shared" si="7"/>
        <v>60000</v>
      </c>
    </row>
    <row r="14" spans="1:25">
      <c r="A14" s="3">
        <v>13</v>
      </c>
      <c r="B14" s="2">
        <f t="shared" si="7"/>
        <v>60000</v>
      </c>
      <c r="C14" s="2">
        <f>0.06*1000000*1.3</f>
        <v>78000</v>
      </c>
      <c r="D14" s="2">
        <f>0.06*1000000*0.55</f>
        <v>33000</v>
      </c>
      <c r="E14" s="2">
        <f>0.06*1000000*1.3</f>
        <v>78000</v>
      </c>
      <c r="F14" s="2">
        <f t="shared" si="7"/>
        <v>60000</v>
      </c>
      <c r="G14" s="2">
        <f>0.06*1000000*0.55</f>
        <v>33000</v>
      </c>
      <c r="H14" s="2">
        <f t="shared" si="7"/>
        <v>60000</v>
      </c>
      <c r="I14" s="2">
        <f t="shared" si="7"/>
        <v>60000</v>
      </c>
      <c r="J14" s="2">
        <f t="shared" si="7"/>
        <v>60000</v>
      </c>
      <c r="K14" s="2">
        <f t="shared" si="7"/>
        <v>60000</v>
      </c>
      <c r="L14" s="2">
        <f t="shared" si="7"/>
        <v>60000</v>
      </c>
      <c r="M14" s="2">
        <f t="shared" si="7"/>
        <v>60000</v>
      </c>
      <c r="N14" s="2">
        <f t="shared" si="7"/>
        <v>60000</v>
      </c>
      <c r="O14" s="2">
        <f t="shared" si="7"/>
        <v>60000</v>
      </c>
      <c r="P14" s="2">
        <f t="shared" si="7"/>
        <v>60000</v>
      </c>
      <c r="Q14" s="2">
        <f t="shared" si="7"/>
        <v>60000</v>
      </c>
      <c r="R14" s="2">
        <f t="shared" si="7"/>
        <v>60000</v>
      </c>
      <c r="S14" s="2">
        <f t="shared" si="7"/>
        <v>60000</v>
      </c>
      <c r="T14" s="2">
        <f t="shared" si="7"/>
        <v>60000</v>
      </c>
      <c r="U14" s="2">
        <f t="shared" si="7"/>
        <v>60000</v>
      </c>
      <c r="V14" s="2">
        <f t="shared" si="7"/>
        <v>60000</v>
      </c>
      <c r="W14" s="2">
        <f t="shared" si="7"/>
        <v>60000</v>
      </c>
      <c r="X14" s="2">
        <f t="shared" si="7"/>
        <v>60000</v>
      </c>
      <c r="Y14" s="2">
        <f t="shared" si="7"/>
        <v>60000</v>
      </c>
    </row>
    <row r="15" spans="1:25">
      <c r="A15" s="3">
        <v>14</v>
      </c>
      <c r="B15" s="2">
        <f t="shared" ref="B15:Y15" si="8">0.12*1000000</f>
        <v>120000</v>
      </c>
      <c r="C15" s="2">
        <f>0.12*1000000*1.3</f>
        <v>156000</v>
      </c>
      <c r="D15" s="2">
        <f>0.12*1000000*0.55</f>
        <v>66000</v>
      </c>
      <c r="E15" s="2">
        <f>0.12*1000000*1.3</f>
        <v>156000</v>
      </c>
      <c r="F15" s="2">
        <f t="shared" si="8"/>
        <v>120000</v>
      </c>
      <c r="G15" s="2">
        <f>0.12*1000000*0.55</f>
        <v>66000</v>
      </c>
      <c r="H15" s="2">
        <f t="shared" si="8"/>
        <v>120000</v>
      </c>
      <c r="I15" s="2">
        <f t="shared" si="8"/>
        <v>120000</v>
      </c>
      <c r="J15" s="2">
        <f t="shared" si="8"/>
        <v>120000</v>
      </c>
      <c r="K15" s="2">
        <f t="shared" si="8"/>
        <v>120000</v>
      </c>
      <c r="L15" s="2">
        <f t="shared" si="8"/>
        <v>120000</v>
      </c>
      <c r="M15" s="2">
        <f t="shared" si="8"/>
        <v>120000</v>
      </c>
      <c r="N15" s="2">
        <f t="shared" si="8"/>
        <v>120000</v>
      </c>
      <c r="O15" s="2">
        <f t="shared" si="8"/>
        <v>120000</v>
      </c>
      <c r="P15" s="2">
        <f t="shared" si="8"/>
        <v>120000</v>
      </c>
      <c r="Q15" s="2">
        <f t="shared" si="8"/>
        <v>120000</v>
      </c>
      <c r="R15" s="2">
        <f t="shared" si="8"/>
        <v>120000</v>
      </c>
      <c r="S15" s="2">
        <f t="shared" si="8"/>
        <v>120000</v>
      </c>
      <c r="T15" s="2">
        <f t="shared" si="8"/>
        <v>120000</v>
      </c>
      <c r="U15" s="2">
        <f t="shared" si="8"/>
        <v>120000</v>
      </c>
      <c r="V15" s="2">
        <f t="shared" si="8"/>
        <v>120000</v>
      </c>
      <c r="W15" s="2">
        <f t="shared" si="8"/>
        <v>120000</v>
      </c>
      <c r="X15" s="2">
        <f t="shared" si="8"/>
        <v>120000</v>
      </c>
      <c r="Y15" s="2">
        <f t="shared" si="8"/>
        <v>120000</v>
      </c>
    </row>
    <row r="16" spans="1:25">
      <c r="A16" s="3">
        <v>15</v>
      </c>
      <c r="B16" s="2">
        <f t="shared" ref="B16:Y18" si="9">0.06*1000000</f>
        <v>60000</v>
      </c>
      <c r="C16" s="2">
        <f>0.06*1000000*1.3</f>
        <v>78000</v>
      </c>
      <c r="D16" s="2">
        <f>0.06*1000000*0.55</f>
        <v>33000</v>
      </c>
      <c r="E16" s="2">
        <f>0.06*1000000*1.3</f>
        <v>78000</v>
      </c>
      <c r="F16" s="2">
        <f t="shared" si="9"/>
        <v>60000</v>
      </c>
      <c r="G16" s="2">
        <f>0.06*1000000*0.55</f>
        <v>33000</v>
      </c>
      <c r="H16" s="2">
        <f t="shared" si="9"/>
        <v>60000</v>
      </c>
      <c r="I16" s="2">
        <f t="shared" si="9"/>
        <v>60000</v>
      </c>
      <c r="J16" s="2">
        <f t="shared" si="9"/>
        <v>60000</v>
      </c>
      <c r="K16" s="2">
        <f t="shared" si="9"/>
        <v>60000</v>
      </c>
      <c r="L16" s="2">
        <f t="shared" si="9"/>
        <v>60000</v>
      </c>
      <c r="M16" s="2">
        <f t="shared" si="9"/>
        <v>60000</v>
      </c>
      <c r="N16" s="2">
        <f t="shared" si="9"/>
        <v>60000</v>
      </c>
      <c r="O16" s="2">
        <f t="shared" si="9"/>
        <v>60000</v>
      </c>
      <c r="P16" s="2">
        <f t="shared" si="9"/>
        <v>60000</v>
      </c>
      <c r="Q16" s="2">
        <f t="shared" si="9"/>
        <v>60000</v>
      </c>
      <c r="R16" s="2">
        <f t="shared" si="9"/>
        <v>60000</v>
      </c>
      <c r="S16" s="2">
        <f t="shared" si="9"/>
        <v>60000</v>
      </c>
      <c r="T16" s="2">
        <f t="shared" si="9"/>
        <v>60000</v>
      </c>
      <c r="U16" s="2">
        <f t="shared" si="9"/>
        <v>60000</v>
      </c>
      <c r="V16" s="2">
        <f t="shared" si="9"/>
        <v>60000</v>
      </c>
      <c r="W16" s="2">
        <f t="shared" si="9"/>
        <v>60000</v>
      </c>
      <c r="X16" s="2">
        <f t="shared" si="9"/>
        <v>60000</v>
      </c>
      <c r="Y16" s="2">
        <f t="shared" si="9"/>
        <v>60000</v>
      </c>
    </row>
    <row r="17" spans="1:25">
      <c r="A17" s="3">
        <v>16</v>
      </c>
      <c r="B17" s="2">
        <f t="shared" ref="B17:Q17" si="10">0.06*1000000</f>
        <v>60000</v>
      </c>
      <c r="C17" s="2">
        <f>0.06*1000000*1.3</f>
        <v>78000</v>
      </c>
      <c r="D17" s="2">
        <f>0.06*1000000*0.55</f>
        <v>33000</v>
      </c>
      <c r="E17" s="2">
        <f>0.06*1000000*1.3</f>
        <v>78000</v>
      </c>
      <c r="F17" s="2">
        <f t="shared" si="10"/>
        <v>60000</v>
      </c>
      <c r="G17" s="2">
        <f>0.06*1000000*0.55</f>
        <v>33000</v>
      </c>
      <c r="H17" s="2">
        <f t="shared" si="10"/>
        <v>60000</v>
      </c>
      <c r="I17" s="2">
        <f t="shared" si="10"/>
        <v>60000</v>
      </c>
      <c r="J17" s="2">
        <f t="shared" si="10"/>
        <v>60000</v>
      </c>
      <c r="K17" s="2">
        <f t="shared" si="10"/>
        <v>60000</v>
      </c>
      <c r="L17" s="2">
        <f t="shared" si="10"/>
        <v>60000</v>
      </c>
      <c r="M17" s="2">
        <f t="shared" si="10"/>
        <v>60000</v>
      </c>
      <c r="N17" s="2">
        <f t="shared" si="10"/>
        <v>60000</v>
      </c>
      <c r="O17" s="2">
        <f t="shared" si="10"/>
        <v>60000</v>
      </c>
      <c r="P17" s="2">
        <f t="shared" si="10"/>
        <v>60000</v>
      </c>
      <c r="Q17" s="2">
        <f t="shared" si="10"/>
        <v>60000</v>
      </c>
      <c r="R17" s="2">
        <f t="shared" si="9"/>
        <v>60000</v>
      </c>
      <c r="S17" s="2">
        <f t="shared" si="9"/>
        <v>60000</v>
      </c>
      <c r="T17" s="2">
        <f t="shared" si="9"/>
        <v>60000</v>
      </c>
      <c r="U17" s="2">
        <f t="shared" si="9"/>
        <v>60000</v>
      </c>
      <c r="V17" s="2">
        <f t="shared" si="9"/>
        <v>60000</v>
      </c>
      <c r="W17" s="2">
        <f t="shared" si="9"/>
        <v>60000</v>
      </c>
      <c r="X17" s="2">
        <f t="shared" si="9"/>
        <v>60000</v>
      </c>
      <c r="Y17" s="2">
        <f t="shared" si="9"/>
        <v>60000</v>
      </c>
    </row>
    <row r="18" spans="1:25">
      <c r="A18" s="3">
        <v>17</v>
      </c>
      <c r="B18" s="2">
        <f t="shared" si="9"/>
        <v>60000</v>
      </c>
      <c r="C18" s="2">
        <f>0.06*1000000*1.3</f>
        <v>78000</v>
      </c>
      <c r="D18" s="2">
        <f>0.06*1000000*0.55</f>
        <v>33000</v>
      </c>
      <c r="E18" s="2">
        <f>0.06*1000000*1.3</f>
        <v>78000</v>
      </c>
      <c r="F18" s="2">
        <f t="shared" si="9"/>
        <v>60000</v>
      </c>
      <c r="G18" s="2">
        <f>0.06*1000000*0.55</f>
        <v>33000</v>
      </c>
      <c r="H18" s="2">
        <f t="shared" si="9"/>
        <v>60000</v>
      </c>
      <c r="I18" s="2">
        <f t="shared" si="9"/>
        <v>60000</v>
      </c>
      <c r="J18" s="2">
        <f t="shared" si="9"/>
        <v>60000</v>
      </c>
      <c r="K18" s="2">
        <f t="shared" si="9"/>
        <v>60000</v>
      </c>
      <c r="L18" s="2">
        <f t="shared" si="9"/>
        <v>60000</v>
      </c>
      <c r="M18" s="2">
        <f t="shared" si="9"/>
        <v>60000</v>
      </c>
      <c r="N18" s="2">
        <f t="shared" si="9"/>
        <v>60000</v>
      </c>
      <c r="O18" s="2">
        <f t="shared" si="9"/>
        <v>60000</v>
      </c>
      <c r="P18" s="2">
        <f t="shared" si="9"/>
        <v>60000</v>
      </c>
      <c r="Q18" s="2">
        <f t="shared" si="9"/>
        <v>60000</v>
      </c>
      <c r="R18" s="2">
        <f t="shared" si="9"/>
        <v>60000</v>
      </c>
      <c r="S18" s="2">
        <f t="shared" si="9"/>
        <v>60000</v>
      </c>
      <c r="T18" s="2">
        <f t="shared" si="9"/>
        <v>60000</v>
      </c>
      <c r="U18" s="2">
        <f t="shared" si="9"/>
        <v>60000</v>
      </c>
      <c r="V18" s="2">
        <f t="shared" si="9"/>
        <v>60000</v>
      </c>
      <c r="W18" s="2">
        <f t="shared" si="9"/>
        <v>60000</v>
      </c>
      <c r="X18" s="2">
        <f t="shared" si="9"/>
        <v>60000</v>
      </c>
      <c r="Y18" s="2">
        <f t="shared" si="9"/>
        <v>60000</v>
      </c>
    </row>
    <row r="19" spans="1:25">
      <c r="A19" s="3">
        <v>18</v>
      </c>
      <c r="B19" s="2">
        <f t="shared" ref="B19:Y24" si="11">0.09*1000000</f>
        <v>90000</v>
      </c>
      <c r="C19" s="2">
        <f t="shared" ref="C19:E24" si="12">0.09*1000000*1.3</f>
        <v>117000</v>
      </c>
      <c r="D19" s="2">
        <f t="shared" ref="D19:D24" si="13">0.09*1000000*0.55</f>
        <v>49500.000000000007</v>
      </c>
      <c r="E19" s="2">
        <f t="shared" si="12"/>
        <v>117000</v>
      </c>
      <c r="F19" s="2">
        <f t="shared" si="11"/>
        <v>90000</v>
      </c>
      <c r="G19" s="2">
        <f t="shared" ref="G19:G24" si="14">0.09*1000000*0.55</f>
        <v>49500.000000000007</v>
      </c>
      <c r="H19" s="2">
        <f t="shared" si="11"/>
        <v>90000</v>
      </c>
      <c r="I19" s="2">
        <f t="shared" si="11"/>
        <v>90000</v>
      </c>
      <c r="J19" s="2">
        <f t="shared" si="11"/>
        <v>90000</v>
      </c>
      <c r="K19" s="2">
        <f t="shared" si="11"/>
        <v>90000</v>
      </c>
      <c r="L19" s="2">
        <f t="shared" si="11"/>
        <v>90000</v>
      </c>
      <c r="M19" s="2">
        <f t="shared" si="11"/>
        <v>90000</v>
      </c>
      <c r="N19" s="2">
        <f t="shared" si="11"/>
        <v>90000</v>
      </c>
      <c r="O19" s="2">
        <f t="shared" si="11"/>
        <v>90000</v>
      </c>
      <c r="P19" s="2">
        <f t="shared" si="11"/>
        <v>90000</v>
      </c>
      <c r="Q19" s="2">
        <f t="shared" si="11"/>
        <v>90000</v>
      </c>
      <c r="R19" s="2">
        <f t="shared" si="11"/>
        <v>90000</v>
      </c>
      <c r="S19" s="2">
        <f t="shared" si="11"/>
        <v>90000</v>
      </c>
      <c r="T19" s="2">
        <f t="shared" si="11"/>
        <v>90000</v>
      </c>
      <c r="U19" s="2">
        <f t="shared" si="11"/>
        <v>90000</v>
      </c>
      <c r="V19" s="2">
        <f t="shared" si="11"/>
        <v>90000</v>
      </c>
      <c r="W19" s="2">
        <f t="shared" si="11"/>
        <v>90000</v>
      </c>
      <c r="X19" s="2">
        <f t="shared" si="11"/>
        <v>90000</v>
      </c>
      <c r="Y19" s="2">
        <f t="shared" si="11"/>
        <v>90000</v>
      </c>
    </row>
    <row r="20" spans="1:25">
      <c r="A20" s="3">
        <v>19</v>
      </c>
      <c r="B20" s="2">
        <f t="shared" ref="B20:Q20" si="15">0.09*1000000</f>
        <v>90000</v>
      </c>
      <c r="C20" s="2">
        <f t="shared" si="12"/>
        <v>117000</v>
      </c>
      <c r="D20" s="2">
        <f t="shared" si="13"/>
        <v>49500.000000000007</v>
      </c>
      <c r="E20" s="2">
        <f t="shared" si="12"/>
        <v>117000</v>
      </c>
      <c r="F20" s="2">
        <f t="shared" si="15"/>
        <v>90000</v>
      </c>
      <c r="G20" s="2">
        <f t="shared" si="14"/>
        <v>49500.000000000007</v>
      </c>
      <c r="H20" s="2">
        <f t="shared" si="15"/>
        <v>90000</v>
      </c>
      <c r="I20" s="2">
        <f t="shared" si="15"/>
        <v>90000</v>
      </c>
      <c r="J20" s="2">
        <f t="shared" si="15"/>
        <v>90000</v>
      </c>
      <c r="K20" s="2">
        <f t="shared" si="15"/>
        <v>90000</v>
      </c>
      <c r="L20" s="2">
        <f t="shared" si="15"/>
        <v>90000</v>
      </c>
      <c r="M20" s="2">
        <f t="shared" si="15"/>
        <v>90000</v>
      </c>
      <c r="N20" s="2">
        <f t="shared" si="15"/>
        <v>90000</v>
      </c>
      <c r="O20" s="2">
        <f t="shared" si="15"/>
        <v>90000</v>
      </c>
      <c r="P20" s="2">
        <f t="shared" si="15"/>
        <v>90000</v>
      </c>
      <c r="Q20" s="2">
        <f t="shared" si="15"/>
        <v>90000</v>
      </c>
      <c r="R20" s="2">
        <f t="shared" si="11"/>
        <v>90000</v>
      </c>
      <c r="S20" s="2">
        <f t="shared" si="11"/>
        <v>90000</v>
      </c>
      <c r="T20" s="2">
        <f t="shared" si="11"/>
        <v>90000</v>
      </c>
      <c r="U20" s="2">
        <f t="shared" si="11"/>
        <v>90000</v>
      </c>
      <c r="V20" s="2">
        <f t="shared" si="11"/>
        <v>90000</v>
      </c>
      <c r="W20" s="2">
        <f t="shared" si="11"/>
        <v>90000</v>
      </c>
      <c r="X20" s="2">
        <f t="shared" si="11"/>
        <v>90000</v>
      </c>
      <c r="Y20" s="2">
        <f t="shared" si="11"/>
        <v>90000</v>
      </c>
    </row>
    <row r="21" spans="1:25">
      <c r="A21" s="3">
        <v>20</v>
      </c>
      <c r="B21" s="2">
        <f t="shared" si="11"/>
        <v>90000</v>
      </c>
      <c r="C21" s="2">
        <f t="shared" si="12"/>
        <v>117000</v>
      </c>
      <c r="D21" s="2">
        <f t="shared" si="13"/>
        <v>49500.000000000007</v>
      </c>
      <c r="E21" s="2">
        <f t="shared" si="12"/>
        <v>117000</v>
      </c>
      <c r="F21" s="2">
        <f t="shared" si="11"/>
        <v>90000</v>
      </c>
      <c r="G21" s="2">
        <f t="shared" si="14"/>
        <v>49500.000000000007</v>
      </c>
      <c r="H21" s="2">
        <f t="shared" si="11"/>
        <v>90000</v>
      </c>
      <c r="I21" s="2">
        <f t="shared" si="11"/>
        <v>90000</v>
      </c>
      <c r="J21" s="2">
        <f t="shared" si="11"/>
        <v>90000</v>
      </c>
      <c r="K21" s="2">
        <f t="shared" si="11"/>
        <v>90000</v>
      </c>
      <c r="L21" s="2">
        <f t="shared" si="11"/>
        <v>90000</v>
      </c>
      <c r="M21" s="2">
        <f t="shared" si="11"/>
        <v>90000</v>
      </c>
      <c r="N21" s="2">
        <f t="shared" si="11"/>
        <v>90000</v>
      </c>
      <c r="O21" s="2">
        <f t="shared" si="11"/>
        <v>90000</v>
      </c>
      <c r="P21" s="2">
        <f t="shared" si="11"/>
        <v>90000</v>
      </c>
      <c r="Q21" s="2">
        <f t="shared" si="11"/>
        <v>90000</v>
      </c>
      <c r="R21" s="2">
        <f t="shared" si="11"/>
        <v>90000</v>
      </c>
      <c r="S21" s="2">
        <f t="shared" si="11"/>
        <v>90000</v>
      </c>
      <c r="T21" s="2">
        <f t="shared" si="11"/>
        <v>90000</v>
      </c>
      <c r="U21" s="2">
        <f t="shared" si="11"/>
        <v>90000</v>
      </c>
      <c r="V21" s="2">
        <f t="shared" si="11"/>
        <v>90000</v>
      </c>
      <c r="W21" s="2">
        <f t="shared" si="11"/>
        <v>90000</v>
      </c>
      <c r="X21" s="2">
        <f t="shared" si="11"/>
        <v>90000</v>
      </c>
      <c r="Y21" s="2">
        <f t="shared" si="11"/>
        <v>90000</v>
      </c>
    </row>
    <row r="22" spans="1:25">
      <c r="A22" s="3">
        <v>21</v>
      </c>
      <c r="B22" s="2">
        <f t="shared" si="11"/>
        <v>90000</v>
      </c>
      <c r="C22" s="2">
        <f t="shared" si="12"/>
        <v>117000</v>
      </c>
      <c r="D22" s="2">
        <f t="shared" si="13"/>
        <v>49500.000000000007</v>
      </c>
      <c r="E22" s="2">
        <f t="shared" si="12"/>
        <v>117000</v>
      </c>
      <c r="F22" s="2">
        <f t="shared" si="11"/>
        <v>90000</v>
      </c>
      <c r="G22" s="2">
        <f t="shared" si="14"/>
        <v>49500.000000000007</v>
      </c>
      <c r="H22" s="2">
        <f t="shared" si="11"/>
        <v>90000</v>
      </c>
      <c r="I22" s="2">
        <f t="shared" si="11"/>
        <v>90000</v>
      </c>
      <c r="J22" s="2">
        <f t="shared" si="11"/>
        <v>90000</v>
      </c>
      <c r="K22" s="2">
        <f t="shared" si="11"/>
        <v>90000</v>
      </c>
      <c r="L22" s="2">
        <f t="shared" si="11"/>
        <v>90000</v>
      </c>
      <c r="M22" s="2">
        <f t="shared" si="11"/>
        <v>90000</v>
      </c>
      <c r="N22" s="2">
        <f t="shared" si="11"/>
        <v>90000</v>
      </c>
      <c r="O22" s="2">
        <f t="shared" si="11"/>
        <v>90000</v>
      </c>
      <c r="P22" s="2">
        <f t="shared" si="11"/>
        <v>90000</v>
      </c>
      <c r="Q22" s="2">
        <f t="shared" si="11"/>
        <v>90000</v>
      </c>
      <c r="R22" s="2">
        <f t="shared" si="11"/>
        <v>90000</v>
      </c>
      <c r="S22" s="2">
        <f t="shared" si="11"/>
        <v>90000</v>
      </c>
      <c r="T22" s="2">
        <f t="shared" si="11"/>
        <v>90000</v>
      </c>
      <c r="U22" s="2">
        <f t="shared" si="11"/>
        <v>90000</v>
      </c>
      <c r="V22" s="2">
        <f t="shared" si="11"/>
        <v>90000</v>
      </c>
      <c r="W22" s="2">
        <f t="shared" si="11"/>
        <v>90000</v>
      </c>
      <c r="X22" s="2">
        <f t="shared" si="11"/>
        <v>90000</v>
      </c>
      <c r="Y22" s="2">
        <f t="shared" si="11"/>
        <v>90000</v>
      </c>
    </row>
    <row r="23" spans="1:25">
      <c r="A23" s="3">
        <v>22</v>
      </c>
      <c r="B23" s="2">
        <f t="shared" si="11"/>
        <v>90000</v>
      </c>
      <c r="C23" s="2">
        <f t="shared" si="12"/>
        <v>117000</v>
      </c>
      <c r="D23" s="2">
        <f t="shared" si="13"/>
        <v>49500.000000000007</v>
      </c>
      <c r="E23" s="2">
        <f t="shared" si="12"/>
        <v>117000</v>
      </c>
      <c r="F23" s="2">
        <f t="shared" si="11"/>
        <v>90000</v>
      </c>
      <c r="G23" s="2">
        <f t="shared" si="14"/>
        <v>49500.000000000007</v>
      </c>
      <c r="H23" s="2">
        <f t="shared" si="11"/>
        <v>90000</v>
      </c>
      <c r="I23" s="2">
        <f t="shared" si="11"/>
        <v>90000</v>
      </c>
      <c r="J23" s="2">
        <f t="shared" si="11"/>
        <v>90000</v>
      </c>
      <c r="K23" s="2">
        <f t="shared" si="11"/>
        <v>90000</v>
      </c>
      <c r="L23" s="2">
        <f t="shared" si="11"/>
        <v>90000</v>
      </c>
      <c r="M23" s="2">
        <f t="shared" si="11"/>
        <v>90000</v>
      </c>
      <c r="N23" s="2">
        <f t="shared" si="11"/>
        <v>90000</v>
      </c>
      <c r="O23" s="2">
        <f t="shared" si="11"/>
        <v>90000</v>
      </c>
      <c r="P23" s="2">
        <f t="shared" si="11"/>
        <v>90000</v>
      </c>
      <c r="Q23" s="2">
        <f t="shared" si="11"/>
        <v>90000</v>
      </c>
      <c r="R23" s="2">
        <f t="shared" si="11"/>
        <v>90000</v>
      </c>
      <c r="S23" s="2">
        <f t="shared" si="11"/>
        <v>90000</v>
      </c>
      <c r="T23" s="2">
        <f t="shared" si="11"/>
        <v>90000</v>
      </c>
      <c r="U23" s="2">
        <f t="shared" si="11"/>
        <v>90000</v>
      </c>
      <c r="V23" s="2">
        <f t="shared" si="11"/>
        <v>90000</v>
      </c>
      <c r="W23" s="2">
        <f t="shared" si="11"/>
        <v>90000</v>
      </c>
      <c r="X23" s="2">
        <f t="shared" si="11"/>
        <v>90000</v>
      </c>
      <c r="Y23" s="2">
        <f t="shared" si="11"/>
        <v>90000</v>
      </c>
    </row>
    <row r="24" spans="1:25">
      <c r="A24" s="3">
        <v>23</v>
      </c>
      <c r="B24" s="2">
        <f t="shared" si="11"/>
        <v>90000</v>
      </c>
      <c r="C24" s="2">
        <f t="shared" si="12"/>
        <v>117000</v>
      </c>
      <c r="D24" s="2">
        <f t="shared" si="13"/>
        <v>49500.000000000007</v>
      </c>
      <c r="E24" s="2">
        <f t="shared" si="12"/>
        <v>117000</v>
      </c>
      <c r="F24" s="2">
        <f t="shared" si="11"/>
        <v>90000</v>
      </c>
      <c r="G24" s="2">
        <f t="shared" si="14"/>
        <v>49500.000000000007</v>
      </c>
      <c r="H24" s="2">
        <f t="shared" si="11"/>
        <v>90000</v>
      </c>
      <c r="I24" s="2">
        <f t="shared" si="11"/>
        <v>90000</v>
      </c>
      <c r="J24" s="2">
        <f t="shared" si="11"/>
        <v>90000</v>
      </c>
      <c r="K24" s="2">
        <f t="shared" si="11"/>
        <v>90000</v>
      </c>
      <c r="L24" s="2">
        <f t="shared" si="11"/>
        <v>90000</v>
      </c>
      <c r="M24" s="2">
        <f t="shared" si="11"/>
        <v>90000</v>
      </c>
      <c r="N24" s="2">
        <f t="shared" si="11"/>
        <v>90000</v>
      </c>
      <c r="O24" s="2">
        <f t="shared" si="11"/>
        <v>90000</v>
      </c>
      <c r="P24" s="2">
        <f t="shared" si="11"/>
        <v>90000</v>
      </c>
      <c r="Q24" s="2">
        <f t="shared" si="11"/>
        <v>90000</v>
      </c>
      <c r="R24" s="2">
        <f t="shared" si="11"/>
        <v>90000</v>
      </c>
      <c r="S24" s="2">
        <f t="shared" si="11"/>
        <v>90000</v>
      </c>
      <c r="T24" s="2">
        <f t="shared" si="11"/>
        <v>90000</v>
      </c>
      <c r="U24" s="2">
        <f t="shared" si="11"/>
        <v>90000</v>
      </c>
      <c r="V24" s="2">
        <f t="shared" si="11"/>
        <v>90000</v>
      </c>
      <c r="W24" s="2">
        <f t="shared" si="11"/>
        <v>90000</v>
      </c>
      <c r="X24" s="2">
        <f t="shared" si="11"/>
        <v>90000</v>
      </c>
      <c r="Y24" s="2">
        <f t="shared" si="11"/>
        <v>90000</v>
      </c>
    </row>
    <row r="25" spans="1:25">
      <c r="A25" s="3">
        <v>24</v>
      </c>
      <c r="B25" s="2">
        <f t="shared" ref="B25:Y26" si="16">0.42*1000000</f>
        <v>420000</v>
      </c>
      <c r="C25" s="2">
        <f>0.42*1000000*1.3</f>
        <v>546000</v>
      </c>
      <c r="D25" s="2">
        <f>0.42*1000000*0.55</f>
        <v>231000.00000000003</v>
      </c>
      <c r="E25" s="2">
        <f>0.42*1000000*1.3</f>
        <v>546000</v>
      </c>
      <c r="F25" s="2">
        <f t="shared" si="16"/>
        <v>420000</v>
      </c>
      <c r="G25" s="2">
        <f>0.42*1000000*0.55</f>
        <v>231000.00000000003</v>
      </c>
      <c r="H25" s="2">
        <f t="shared" si="16"/>
        <v>420000</v>
      </c>
      <c r="I25" s="2">
        <f t="shared" si="16"/>
        <v>420000</v>
      </c>
      <c r="J25" s="2">
        <f t="shared" si="16"/>
        <v>420000</v>
      </c>
      <c r="K25" s="2">
        <f t="shared" si="16"/>
        <v>420000</v>
      </c>
      <c r="L25" s="2">
        <f t="shared" si="16"/>
        <v>420000</v>
      </c>
      <c r="M25" s="2">
        <f t="shared" si="16"/>
        <v>420000</v>
      </c>
      <c r="N25" s="2">
        <f t="shared" si="16"/>
        <v>420000</v>
      </c>
      <c r="O25" s="2">
        <f t="shared" si="16"/>
        <v>420000</v>
      </c>
      <c r="P25" s="2">
        <f t="shared" si="16"/>
        <v>420000</v>
      </c>
      <c r="Q25" s="2">
        <f t="shared" si="16"/>
        <v>420000</v>
      </c>
      <c r="R25" s="2">
        <f t="shared" si="16"/>
        <v>420000</v>
      </c>
      <c r="S25" s="2">
        <f t="shared" si="16"/>
        <v>420000</v>
      </c>
      <c r="T25" s="2">
        <f t="shared" si="16"/>
        <v>420000</v>
      </c>
      <c r="U25" s="2">
        <f t="shared" si="16"/>
        <v>420000</v>
      </c>
      <c r="V25" s="2">
        <f t="shared" si="16"/>
        <v>420000</v>
      </c>
      <c r="W25" s="2">
        <f t="shared" si="16"/>
        <v>420000</v>
      </c>
      <c r="X25" s="2">
        <f t="shared" si="16"/>
        <v>420000</v>
      </c>
      <c r="Y25" s="2">
        <f t="shared" si="16"/>
        <v>420000</v>
      </c>
    </row>
    <row r="26" spans="1:25">
      <c r="A26" s="3">
        <v>25</v>
      </c>
      <c r="B26" s="2">
        <f t="shared" si="16"/>
        <v>420000</v>
      </c>
      <c r="C26" s="2">
        <f>0.42*1000000*1.3</f>
        <v>546000</v>
      </c>
      <c r="D26" s="2">
        <f>0.42*1000000*0.55</f>
        <v>231000.00000000003</v>
      </c>
      <c r="E26" s="2">
        <f>0.42*1000000*1.3</f>
        <v>546000</v>
      </c>
      <c r="F26" s="2">
        <f t="shared" si="16"/>
        <v>420000</v>
      </c>
      <c r="G26" s="2">
        <f>0.42*1000000*0.55</f>
        <v>231000.00000000003</v>
      </c>
      <c r="H26" s="2">
        <f t="shared" si="16"/>
        <v>420000</v>
      </c>
      <c r="I26" s="2">
        <f t="shared" si="16"/>
        <v>420000</v>
      </c>
      <c r="J26" s="2">
        <f t="shared" si="16"/>
        <v>420000</v>
      </c>
      <c r="K26" s="2">
        <f t="shared" si="16"/>
        <v>420000</v>
      </c>
      <c r="L26" s="2">
        <f t="shared" si="16"/>
        <v>420000</v>
      </c>
      <c r="M26" s="2">
        <f t="shared" si="16"/>
        <v>420000</v>
      </c>
      <c r="N26" s="2">
        <f t="shared" si="16"/>
        <v>420000</v>
      </c>
      <c r="O26" s="2">
        <f t="shared" si="16"/>
        <v>420000</v>
      </c>
      <c r="P26" s="2">
        <f t="shared" si="16"/>
        <v>420000</v>
      </c>
      <c r="Q26" s="2">
        <f t="shared" si="16"/>
        <v>420000</v>
      </c>
      <c r="R26" s="2">
        <f t="shared" si="16"/>
        <v>420000</v>
      </c>
      <c r="S26" s="2">
        <f t="shared" si="16"/>
        <v>420000</v>
      </c>
      <c r="T26" s="2">
        <f t="shared" si="16"/>
        <v>420000</v>
      </c>
      <c r="U26" s="2">
        <f t="shared" si="16"/>
        <v>420000</v>
      </c>
      <c r="V26" s="2">
        <f t="shared" si="16"/>
        <v>420000</v>
      </c>
      <c r="W26" s="2">
        <f t="shared" si="16"/>
        <v>420000</v>
      </c>
      <c r="X26" s="2">
        <f t="shared" si="16"/>
        <v>420000</v>
      </c>
      <c r="Y26" s="2">
        <f t="shared" si="16"/>
        <v>420000</v>
      </c>
    </row>
    <row r="27" spans="1:25">
      <c r="A27" s="3">
        <v>26</v>
      </c>
      <c r="B27" s="2">
        <f t="shared" ref="B27:Y29" si="17">0.06*1000000</f>
        <v>60000</v>
      </c>
      <c r="C27" s="2">
        <f>0.06*1000000*1.3</f>
        <v>78000</v>
      </c>
      <c r="D27" s="2">
        <f>0.06*1000000*0.55</f>
        <v>33000</v>
      </c>
      <c r="E27" s="2">
        <f>0.06*1000000*1.3</f>
        <v>78000</v>
      </c>
      <c r="F27" s="2">
        <f t="shared" si="17"/>
        <v>60000</v>
      </c>
      <c r="G27" s="2">
        <f>0.06*1000000*0.55</f>
        <v>33000</v>
      </c>
      <c r="H27" s="2">
        <f t="shared" si="17"/>
        <v>60000</v>
      </c>
      <c r="I27" s="2">
        <f t="shared" si="17"/>
        <v>60000</v>
      </c>
      <c r="J27" s="2">
        <f t="shared" si="17"/>
        <v>60000</v>
      </c>
      <c r="K27" s="2">
        <f t="shared" si="17"/>
        <v>60000</v>
      </c>
      <c r="L27" s="2">
        <f t="shared" si="17"/>
        <v>60000</v>
      </c>
      <c r="M27" s="2">
        <f t="shared" si="17"/>
        <v>60000</v>
      </c>
      <c r="N27" s="2">
        <f t="shared" si="17"/>
        <v>60000</v>
      </c>
      <c r="O27" s="2">
        <f t="shared" si="17"/>
        <v>60000</v>
      </c>
      <c r="P27" s="2">
        <f t="shared" si="17"/>
        <v>60000</v>
      </c>
      <c r="Q27" s="2">
        <f t="shared" si="17"/>
        <v>60000</v>
      </c>
      <c r="R27" s="2">
        <f t="shared" si="17"/>
        <v>60000</v>
      </c>
      <c r="S27" s="2">
        <f t="shared" si="17"/>
        <v>60000</v>
      </c>
      <c r="T27" s="2">
        <f t="shared" si="17"/>
        <v>60000</v>
      </c>
      <c r="U27" s="2">
        <f t="shared" si="17"/>
        <v>60000</v>
      </c>
      <c r="V27" s="2">
        <f t="shared" si="17"/>
        <v>60000</v>
      </c>
      <c r="W27" s="2">
        <f t="shared" si="17"/>
        <v>60000</v>
      </c>
      <c r="X27" s="2">
        <f t="shared" si="17"/>
        <v>60000</v>
      </c>
      <c r="Y27" s="2">
        <f t="shared" si="17"/>
        <v>60000</v>
      </c>
    </row>
    <row r="28" spans="1:25">
      <c r="A28" s="3">
        <v>27</v>
      </c>
      <c r="B28" s="2">
        <f t="shared" ref="B28:Q28" si="18">0.06*1000000</f>
        <v>60000</v>
      </c>
      <c r="C28" s="2">
        <f>0.06*1000000*1.3</f>
        <v>78000</v>
      </c>
      <c r="D28" s="2">
        <f>0.06*1000000*0.55</f>
        <v>33000</v>
      </c>
      <c r="E28" s="2">
        <f>0.06*1000000*1.3</f>
        <v>78000</v>
      </c>
      <c r="F28" s="2">
        <f t="shared" si="18"/>
        <v>60000</v>
      </c>
      <c r="G28" s="2">
        <f>0.06*1000000*0.55</f>
        <v>33000</v>
      </c>
      <c r="H28" s="2">
        <f t="shared" si="18"/>
        <v>60000</v>
      </c>
      <c r="I28" s="2">
        <f t="shared" si="18"/>
        <v>60000</v>
      </c>
      <c r="J28" s="2">
        <f t="shared" si="18"/>
        <v>60000</v>
      </c>
      <c r="K28" s="2">
        <f t="shared" si="18"/>
        <v>60000</v>
      </c>
      <c r="L28" s="2">
        <f t="shared" si="18"/>
        <v>60000</v>
      </c>
      <c r="M28" s="2">
        <f t="shared" si="18"/>
        <v>60000</v>
      </c>
      <c r="N28" s="2">
        <f t="shared" si="18"/>
        <v>60000</v>
      </c>
      <c r="O28" s="2">
        <f t="shared" si="18"/>
        <v>60000</v>
      </c>
      <c r="P28" s="2">
        <f t="shared" si="18"/>
        <v>60000</v>
      </c>
      <c r="Q28" s="2">
        <f t="shared" si="18"/>
        <v>60000</v>
      </c>
      <c r="R28" s="2">
        <f t="shared" si="17"/>
        <v>60000</v>
      </c>
      <c r="S28" s="2">
        <f t="shared" si="17"/>
        <v>60000</v>
      </c>
      <c r="T28" s="2">
        <f t="shared" si="17"/>
        <v>60000</v>
      </c>
      <c r="U28" s="2">
        <f t="shared" si="17"/>
        <v>60000</v>
      </c>
      <c r="V28" s="2">
        <f t="shared" si="17"/>
        <v>60000</v>
      </c>
      <c r="W28" s="2">
        <f t="shared" si="17"/>
        <v>60000</v>
      </c>
      <c r="X28" s="2">
        <f t="shared" si="17"/>
        <v>60000</v>
      </c>
      <c r="Y28" s="2">
        <f t="shared" si="17"/>
        <v>60000</v>
      </c>
    </row>
    <row r="29" spans="1:25">
      <c r="A29" s="3">
        <v>28</v>
      </c>
      <c r="B29" s="2">
        <f t="shared" si="17"/>
        <v>60000</v>
      </c>
      <c r="C29" s="2">
        <f>0.06*1000000*1.3</f>
        <v>78000</v>
      </c>
      <c r="D29" s="2">
        <f>0.06*1000000*0.55</f>
        <v>33000</v>
      </c>
      <c r="E29" s="2">
        <f>0.06*1000000*1.3</f>
        <v>78000</v>
      </c>
      <c r="F29" s="2">
        <f t="shared" si="17"/>
        <v>60000</v>
      </c>
      <c r="G29" s="2">
        <f>0.06*1000000*0.55</f>
        <v>33000</v>
      </c>
      <c r="H29" s="2">
        <f t="shared" si="17"/>
        <v>60000</v>
      </c>
      <c r="I29" s="2">
        <f t="shared" si="17"/>
        <v>60000</v>
      </c>
      <c r="J29" s="2">
        <f t="shared" si="17"/>
        <v>60000</v>
      </c>
      <c r="K29" s="2">
        <f t="shared" si="17"/>
        <v>60000</v>
      </c>
      <c r="L29" s="2">
        <f t="shared" si="17"/>
        <v>60000</v>
      </c>
      <c r="M29" s="2">
        <f t="shared" si="17"/>
        <v>60000</v>
      </c>
      <c r="N29" s="2">
        <f t="shared" si="17"/>
        <v>60000</v>
      </c>
      <c r="O29" s="2">
        <f t="shared" si="17"/>
        <v>60000</v>
      </c>
      <c r="P29" s="2">
        <f t="shared" si="17"/>
        <v>60000</v>
      </c>
      <c r="Q29" s="2">
        <f t="shared" si="17"/>
        <v>60000</v>
      </c>
      <c r="R29" s="2">
        <f t="shared" si="17"/>
        <v>60000</v>
      </c>
      <c r="S29" s="2">
        <f t="shared" si="17"/>
        <v>60000</v>
      </c>
      <c r="T29" s="2">
        <f t="shared" si="17"/>
        <v>60000</v>
      </c>
      <c r="U29" s="2">
        <f t="shared" si="17"/>
        <v>60000</v>
      </c>
      <c r="V29" s="2">
        <f t="shared" si="17"/>
        <v>60000</v>
      </c>
      <c r="W29" s="2">
        <f t="shared" si="17"/>
        <v>60000</v>
      </c>
      <c r="X29" s="2">
        <f t="shared" si="17"/>
        <v>60000</v>
      </c>
      <c r="Y29" s="2">
        <f t="shared" si="17"/>
        <v>60000</v>
      </c>
    </row>
    <row r="30" spans="1:25">
      <c r="A30" s="3">
        <v>29</v>
      </c>
      <c r="B30" s="2">
        <f t="shared" ref="B30:Y30" si="19">0.12*1000000</f>
        <v>120000</v>
      </c>
      <c r="C30" s="2">
        <f>0.12*1000000*1.3</f>
        <v>156000</v>
      </c>
      <c r="D30" s="2">
        <f>0.12*1000000*0.55</f>
        <v>66000</v>
      </c>
      <c r="E30" s="2">
        <f>0.12*1000000*1.3</f>
        <v>156000</v>
      </c>
      <c r="F30" s="2">
        <f t="shared" si="19"/>
        <v>120000</v>
      </c>
      <c r="G30" s="2">
        <f>0.12*1000000*0.55</f>
        <v>66000</v>
      </c>
      <c r="H30" s="2">
        <f t="shared" si="19"/>
        <v>120000</v>
      </c>
      <c r="I30" s="2">
        <f t="shared" si="19"/>
        <v>120000</v>
      </c>
      <c r="J30" s="2">
        <f t="shared" si="19"/>
        <v>120000</v>
      </c>
      <c r="K30" s="2">
        <f t="shared" si="19"/>
        <v>120000</v>
      </c>
      <c r="L30" s="2">
        <f t="shared" si="19"/>
        <v>120000</v>
      </c>
      <c r="M30" s="2">
        <f t="shared" si="19"/>
        <v>120000</v>
      </c>
      <c r="N30" s="2">
        <f t="shared" si="19"/>
        <v>120000</v>
      </c>
      <c r="O30" s="2">
        <f t="shared" si="19"/>
        <v>120000</v>
      </c>
      <c r="P30" s="2">
        <f t="shared" si="19"/>
        <v>120000</v>
      </c>
      <c r="Q30" s="2">
        <f t="shared" si="19"/>
        <v>120000</v>
      </c>
      <c r="R30" s="2">
        <f t="shared" si="19"/>
        <v>120000</v>
      </c>
      <c r="S30" s="2">
        <f t="shared" si="19"/>
        <v>120000</v>
      </c>
      <c r="T30" s="2">
        <f t="shared" si="19"/>
        <v>120000</v>
      </c>
      <c r="U30" s="2">
        <f t="shared" si="19"/>
        <v>120000</v>
      </c>
      <c r="V30" s="2">
        <f t="shared" si="19"/>
        <v>120000</v>
      </c>
      <c r="W30" s="2">
        <f t="shared" si="19"/>
        <v>120000</v>
      </c>
      <c r="X30" s="2">
        <f t="shared" si="19"/>
        <v>120000</v>
      </c>
      <c r="Y30" s="2">
        <f t="shared" si="19"/>
        <v>120000</v>
      </c>
    </row>
    <row r="31" spans="1:25">
      <c r="A31" s="3">
        <v>30</v>
      </c>
      <c r="B31" s="2">
        <f t="shared" ref="B31:Y31" si="20">0.2*1000000</f>
        <v>200000</v>
      </c>
      <c r="C31" s="2">
        <f>0.2*1000000*1.3</f>
        <v>260000</v>
      </c>
      <c r="D31" s="2">
        <f>0.2*1000000*0.55</f>
        <v>110000.00000000001</v>
      </c>
      <c r="E31" s="2">
        <f>0.2*1000000*1.3</f>
        <v>260000</v>
      </c>
      <c r="F31" s="2">
        <f t="shared" si="20"/>
        <v>200000</v>
      </c>
      <c r="G31" s="2">
        <f>0.2*1000000*0.55</f>
        <v>110000.00000000001</v>
      </c>
      <c r="H31" s="2">
        <f t="shared" si="20"/>
        <v>200000</v>
      </c>
      <c r="I31" s="2">
        <f t="shared" si="20"/>
        <v>200000</v>
      </c>
      <c r="J31" s="2">
        <f t="shared" si="20"/>
        <v>200000</v>
      </c>
      <c r="K31" s="2">
        <f t="shared" si="20"/>
        <v>200000</v>
      </c>
      <c r="L31" s="2">
        <f t="shared" si="20"/>
        <v>200000</v>
      </c>
      <c r="M31" s="2">
        <f t="shared" si="20"/>
        <v>200000</v>
      </c>
      <c r="N31" s="2">
        <f t="shared" si="20"/>
        <v>200000</v>
      </c>
      <c r="O31" s="2">
        <f t="shared" si="20"/>
        <v>200000</v>
      </c>
      <c r="P31" s="2">
        <f t="shared" si="20"/>
        <v>200000</v>
      </c>
      <c r="Q31" s="2">
        <f t="shared" si="20"/>
        <v>200000</v>
      </c>
      <c r="R31" s="2">
        <f t="shared" si="20"/>
        <v>200000</v>
      </c>
      <c r="S31" s="2">
        <f t="shared" si="20"/>
        <v>200000</v>
      </c>
      <c r="T31" s="2">
        <f t="shared" si="20"/>
        <v>200000</v>
      </c>
      <c r="U31" s="2">
        <f t="shared" si="20"/>
        <v>200000</v>
      </c>
      <c r="V31" s="2">
        <f t="shared" si="20"/>
        <v>200000</v>
      </c>
      <c r="W31" s="2">
        <f t="shared" si="20"/>
        <v>200000</v>
      </c>
      <c r="X31" s="2">
        <f t="shared" si="20"/>
        <v>200000</v>
      </c>
      <c r="Y31" s="2">
        <f t="shared" si="20"/>
        <v>200000</v>
      </c>
    </row>
    <row r="32" spans="1:25">
      <c r="A32" s="3">
        <v>31</v>
      </c>
      <c r="B32" s="2">
        <f t="shared" ref="B32:Y32" si="21">0.15*1000000</f>
        <v>150000</v>
      </c>
      <c r="C32" s="2">
        <f>0.15*1000000*1.3</f>
        <v>195000</v>
      </c>
      <c r="D32" s="2">
        <f>0.15*1000000*0.55</f>
        <v>82500</v>
      </c>
      <c r="E32" s="2">
        <f>0.15*1000000*1.3</f>
        <v>195000</v>
      </c>
      <c r="F32" s="2">
        <f t="shared" si="21"/>
        <v>150000</v>
      </c>
      <c r="G32" s="2">
        <f>0.15*1000000*0.55</f>
        <v>82500</v>
      </c>
      <c r="H32" s="2">
        <f t="shared" si="21"/>
        <v>150000</v>
      </c>
      <c r="I32" s="2">
        <f t="shared" si="21"/>
        <v>150000</v>
      </c>
      <c r="J32" s="2">
        <f t="shared" si="21"/>
        <v>150000</v>
      </c>
      <c r="K32" s="2">
        <f t="shared" si="21"/>
        <v>150000</v>
      </c>
      <c r="L32" s="2">
        <f t="shared" si="21"/>
        <v>150000</v>
      </c>
      <c r="M32" s="2">
        <f t="shared" si="21"/>
        <v>150000</v>
      </c>
      <c r="N32" s="2">
        <f t="shared" si="21"/>
        <v>150000</v>
      </c>
      <c r="O32" s="2">
        <f t="shared" si="21"/>
        <v>150000</v>
      </c>
      <c r="P32" s="2">
        <f t="shared" si="21"/>
        <v>150000</v>
      </c>
      <c r="Q32" s="2">
        <f t="shared" si="21"/>
        <v>150000</v>
      </c>
      <c r="R32" s="2">
        <f t="shared" si="21"/>
        <v>150000</v>
      </c>
      <c r="S32" s="2">
        <f t="shared" si="21"/>
        <v>150000</v>
      </c>
      <c r="T32" s="2">
        <f t="shared" si="21"/>
        <v>150000</v>
      </c>
      <c r="U32" s="2">
        <f t="shared" si="21"/>
        <v>150000</v>
      </c>
      <c r="V32" s="2">
        <f t="shared" si="21"/>
        <v>150000</v>
      </c>
      <c r="W32" s="2">
        <f t="shared" si="21"/>
        <v>150000</v>
      </c>
      <c r="X32" s="2">
        <f t="shared" si="21"/>
        <v>150000</v>
      </c>
      <c r="Y32" s="2">
        <f t="shared" si="21"/>
        <v>150000</v>
      </c>
    </row>
    <row r="33" spans="1:25">
      <c r="A33" s="3">
        <v>32</v>
      </c>
      <c r="B33" s="2">
        <f t="shared" ref="B33:Y33" si="22">0.21*1000000</f>
        <v>210000</v>
      </c>
      <c r="C33" s="2">
        <f>0.21*1000000*1.3</f>
        <v>273000</v>
      </c>
      <c r="D33" s="2">
        <f>0.21*1000000*0.55</f>
        <v>115500.00000000001</v>
      </c>
      <c r="E33" s="2">
        <f>0.21*1000000*1.3</f>
        <v>273000</v>
      </c>
      <c r="F33" s="2">
        <f t="shared" si="22"/>
        <v>210000</v>
      </c>
      <c r="G33" s="2">
        <f>0.21*1000000*0.55</f>
        <v>115500.00000000001</v>
      </c>
      <c r="H33" s="2">
        <f t="shared" si="22"/>
        <v>210000</v>
      </c>
      <c r="I33" s="2">
        <f t="shared" si="22"/>
        <v>210000</v>
      </c>
      <c r="J33" s="2">
        <f t="shared" si="22"/>
        <v>210000</v>
      </c>
      <c r="K33" s="2">
        <f t="shared" si="22"/>
        <v>210000</v>
      </c>
      <c r="L33" s="2">
        <f t="shared" si="22"/>
        <v>210000</v>
      </c>
      <c r="M33" s="2">
        <f t="shared" si="22"/>
        <v>210000</v>
      </c>
      <c r="N33" s="2">
        <f t="shared" si="22"/>
        <v>210000</v>
      </c>
      <c r="O33" s="2">
        <f t="shared" si="22"/>
        <v>210000</v>
      </c>
      <c r="P33" s="2">
        <f t="shared" si="22"/>
        <v>210000</v>
      </c>
      <c r="Q33" s="2">
        <f t="shared" si="22"/>
        <v>210000</v>
      </c>
      <c r="R33" s="2">
        <f t="shared" si="22"/>
        <v>210000</v>
      </c>
      <c r="S33" s="2">
        <f t="shared" si="22"/>
        <v>210000</v>
      </c>
      <c r="T33" s="2">
        <f t="shared" si="22"/>
        <v>210000</v>
      </c>
      <c r="U33" s="2">
        <f t="shared" si="22"/>
        <v>210000</v>
      </c>
      <c r="V33" s="2">
        <f t="shared" si="22"/>
        <v>210000</v>
      </c>
      <c r="W33" s="2">
        <f t="shared" si="22"/>
        <v>210000</v>
      </c>
      <c r="X33" s="2">
        <f t="shared" si="22"/>
        <v>210000</v>
      </c>
      <c r="Y33" s="2">
        <f t="shared" si="22"/>
        <v>210000</v>
      </c>
    </row>
    <row r="34" spans="1:25">
      <c r="A34" s="3">
        <v>33</v>
      </c>
      <c r="B34" s="2">
        <f t="shared" ref="B34:Y34" si="23">0.06*1000000</f>
        <v>60000</v>
      </c>
      <c r="C34" s="2">
        <f>0.06*1000000*1.3</f>
        <v>78000</v>
      </c>
      <c r="D34" s="2">
        <f>0.06*1000000*0.55</f>
        <v>33000</v>
      </c>
      <c r="E34" s="2">
        <f>0.06*1000000*1.3</f>
        <v>78000</v>
      </c>
      <c r="F34" s="2">
        <f t="shared" si="23"/>
        <v>60000</v>
      </c>
      <c r="G34" s="2">
        <f>0.06*1000000*0.55</f>
        <v>33000</v>
      </c>
      <c r="H34" s="2">
        <f t="shared" si="23"/>
        <v>60000</v>
      </c>
      <c r="I34" s="2">
        <f t="shared" si="23"/>
        <v>60000</v>
      </c>
      <c r="J34" s="2">
        <f t="shared" si="23"/>
        <v>60000</v>
      </c>
      <c r="K34" s="2">
        <f t="shared" si="23"/>
        <v>60000</v>
      </c>
      <c r="L34" s="2">
        <f t="shared" si="23"/>
        <v>60000</v>
      </c>
      <c r="M34" s="2">
        <f t="shared" si="23"/>
        <v>60000</v>
      </c>
      <c r="N34" s="2">
        <f t="shared" si="23"/>
        <v>60000</v>
      </c>
      <c r="O34" s="2">
        <f t="shared" si="23"/>
        <v>60000</v>
      </c>
      <c r="P34" s="2">
        <f t="shared" si="23"/>
        <v>60000</v>
      </c>
      <c r="Q34" s="2">
        <f t="shared" si="23"/>
        <v>60000</v>
      </c>
      <c r="R34" s="2">
        <f t="shared" si="23"/>
        <v>60000</v>
      </c>
      <c r="S34" s="2">
        <f t="shared" si="23"/>
        <v>60000</v>
      </c>
      <c r="T34" s="2">
        <f t="shared" si="23"/>
        <v>60000</v>
      </c>
      <c r="U34" s="2">
        <f t="shared" si="23"/>
        <v>60000</v>
      </c>
      <c r="V34" s="2">
        <f t="shared" si="23"/>
        <v>60000</v>
      </c>
      <c r="W34" s="2">
        <f t="shared" si="23"/>
        <v>60000</v>
      </c>
      <c r="X34" s="2">
        <f t="shared" si="23"/>
        <v>60000</v>
      </c>
      <c r="Y34" s="2">
        <f t="shared" si="23"/>
        <v>60000</v>
      </c>
    </row>
    <row r="35" spans="1:25">
      <c r="A35" s="3">
        <v>34</v>
      </c>
      <c r="B35" s="2">
        <v>0</v>
      </c>
      <c r="C35" s="2">
        <v>0</v>
      </c>
      <c r="D35" s="2">
        <v>0</v>
      </c>
      <c r="E35" s="2">
        <v>0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</row>
    <row r="36" spans="1:25">
      <c r="A36" s="3">
        <v>35</v>
      </c>
      <c r="B36" s="2">
        <v>0</v>
      </c>
      <c r="C36" s="2">
        <v>0</v>
      </c>
      <c r="D36" s="2">
        <v>0</v>
      </c>
      <c r="E36" s="2">
        <v>0</v>
      </c>
      <c r="F36" s="2">
        <v>0</v>
      </c>
      <c r="G36" s="2">
        <v>0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</row>
    <row r="37" spans="1:25">
      <c r="A37" s="3">
        <v>36</v>
      </c>
      <c r="B37" s="2">
        <v>0</v>
      </c>
      <c r="C37" s="2">
        <v>0</v>
      </c>
      <c r="D37" s="2">
        <v>0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</row>
    <row r="38" spans="1:25">
      <c r="A38" s="3">
        <v>37</v>
      </c>
      <c r="B38" s="2">
        <v>0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</row>
    <row r="39" spans="1:25">
      <c r="A39" s="3">
        <v>38</v>
      </c>
      <c r="B39" s="2">
        <v>0</v>
      </c>
      <c r="C39" s="2">
        <v>0</v>
      </c>
      <c r="D39" s="2">
        <v>0</v>
      </c>
      <c r="E39" s="2">
        <v>0</v>
      </c>
      <c r="F39" s="2">
        <v>100000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</row>
    <row r="42" spans="1:25">
      <c r="C42" s="1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57FF3-7CE8-9641-A798-2975F9E8A115}">
  <dimension ref="A1:Y39"/>
  <sheetViews>
    <sheetView zoomScaleNormal="100" workbookViewId="0">
      <selection activeCell="D35" sqref="D35"/>
    </sheetView>
  </sheetViews>
  <sheetFormatPr baseColWidth="10" defaultColWidth="11.5703125" defaultRowHeight="18"/>
  <sheetData>
    <row r="1" spans="1:25" s="1" customFormat="1">
      <c r="A1" s="3" t="s">
        <v>43</v>
      </c>
      <c r="B1" s="3">
        <v>1</v>
      </c>
      <c r="C1" s="3">
        <v>2</v>
      </c>
      <c r="D1" s="3">
        <v>3</v>
      </c>
      <c r="E1" s="3">
        <v>4</v>
      </c>
      <c r="F1" s="3">
        <v>5</v>
      </c>
      <c r="G1" s="3">
        <v>6</v>
      </c>
      <c r="H1" s="3">
        <v>7</v>
      </c>
      <c r="I1" s="3">
        <v>8</v>
      </c>
      <c r="J1" s="3">
        <v>9</v>
      </c>
      <c r="K1" s="3">
        <v>10</v>
      </c>
      <c r="L1" s="3">
        <v>11</v>
      </c>
      <c r="M1" s="3">
        <v>12</v>
      </c>
      <c r="N1" s="3">
        <v>13</v>
      </c>
      <c r="O1" s="3">
        <v>14</v>
      </c>
      <c r="P1" s="3">
        <v>15</v>
      </c>
      <c r="Q1" s="3">
        <v>16</v>
      </c>
      <c r="R1" s="3">
        <v>17</v>
      </c>
      <c r="S1" s="3">
        <v>18</v>
      </c>
      <c r="T1" s="3">
        <v>19</v>
      </c>
      <c r="U1" s="3">
        <v>20</v>
      </c>
      <c r="V1" s="3">
        <v>21</v>
      </c>
      <c r="W1" s="3">
        <v>22</v>
      </c>
      <c r="X1" s="3">
        <v>23</v>
      </c>
      <c r="Y1" s="3">
        <v>24</v>
      </c>
    </row>
    <row r="2" spans="1:25">
      <c r="A2" s="3">
        <v>1</v>
      </c>
      <c r="B2" s="2">
        <f>0.03*1000000</f>
        <v>30000</v>
      </c>
      <c r="C2" s="2">
        <f>0.03*1000000*1.3</f>
        <v>39000</v>
      </c>
      <c r="D2" s="2">
        <f>0.03*1000000*0.55</f>
        <v>16500</v>
      </c>
      <c r="E2" s="2">
        <f t="shared" ref="E2:Y3" si="0">0.03*1000000</f>
        <v>30000</v>
      </c>
      <c r="F2" s="2">
        <f t="shared" si="0"/>
        <v>30000</v>
      </c>
      <c r="G2" s="2">
        <f t="shared" si="0"/>
        <v>30000</v>
      </c>
      <c r="H2" s="2">
        <f t="shared" si="0"/>
        <v>30000</v>
      </c>
      <c r="I2" s="2">
        <f t="shared" si="0"/>
        <v>30000</v>
      </c>
      <c r="J2" s="2">
        <f t="shared" si="0"/>
        <v>30000</v>
      </c>
      <c r="K2" s="2">
        <f t="shared" si="0"/>
        <v>30000</v>
      </c>
      <c r="L2" s="2">
        <f t="shared" si="0"/>
        <v>30000</v>
      </c>
      <c r="M2" s="2">
        <f t="shared" si="0"/>
        <v>30000</v>
      </c>
      <c r="N2" s="2">
        <f t="shared" si="0"/>
        <v>30000</v>
      </c>
      <c r="O2" s="2">
        <f t="shared" si="0"/>
        <v>30000</v>
      </c>
      <c r="P2" s="2">
        <f t="shared" si="0"/>
        <v>30000</v>
      </c>
      <c r="Q2" s="2">
        <f t="shared" si="0"/>
        <v>30000</v>
      </c>
      <c r="R2" s="2">
        <f t="shared" si="0"/>
        <v>30000</v>
      </c>
      <c r="S2" s="2">
        <f t="shared" si="0"/>
        <v>30000</v>
      </c>
      <c r="T2" s="2">
        <f t="shared" si="0"/>
        <v>30000</v>
      </c>
      <c r="U2" s="2">
        <f t="shared" si="0"/>
        <v>30000</v>
      </c>
      <c r="V2" s="2">
        <f t="shared" si="0"/>
        <v>30000</v>
      </c>
      <c r="W2" s="2">
        <f t="shared" si="0"/>
        <v>30000</v>
      </c>
      <c r="X2" s="2">
        <f t="shared" si="0"/>
        <v>30000</v>
      </c>
      <c r="Y2" s="2">
        <f t="shared" si="0"/>
        <v>30000</v>
      </c>
    </row>
    <row r="3" spans="1:25">
      <c r="A3" s="3">
        <v>2</v>
      </c>
      <c r="B3" s="2">
        <f>0.03*1000000</f>
        <v>30000</v>
      </c>
      <c r="C3" s="2">
        <f>0.03*1000000*1.3</f>
        <v>39000</v>
      </c>
      <c r="D3" s="2">
        <f>0.03*1000000*0.55</f>
        <v>16500</v>
      </c>
      <c r="E3" s="2">
        <f t="shared" si="0"/>
        <v>30000</v>
      </c>
      <c r="F3" s="2">
        <f t="shared" si="0"/>
        <v>30000</v>
      </c>
      <c r="G3" s="2">
        <f t="shared" si="0"/>
        <v>30000</v>
      </c>
      <c r="H3" s="2">
        <f t="shared" si="0"/>
        <v>30000</v>
      </c>
      <c r="I3" s="2">
        <f t="shared" si="0"/>
        <v>30000</v>
      </c>
      <c r="J3" s="2">
        <f t="shared" si="0"/>
        <v>30000</v>
      </c>
      <c r="K3" s="2">
        <f t="shared" si="0"/>
        <v>30000</v>
      </c>
      <c r="L3" s="2">
        <f t="shared" si="0"/>
        <v>30000</v>
      </c>
      <c r="M3" s="2">
        <f t="shared" si="0"/>
        <v>30000</v>
      </c>
      <c r="N3" s="2">
        <f t="shared" si="0"/>
        <v>30000</v>
      </c>
      <c r="O3" s="2">
        <f t="shared" si="0"/>
        <v>30000</v>
      </c>
      <c r="P3" s="2">
        <f t="shared" si="0"/>
        <v>30000</v>
      </c>
      <c r="Q3" s="2">
        <f t="shared" si="0"/>
        <v>30000</v>
      </c>
      <c r="R3" s="2">
        <f t="shared" si="0"/>
        <v>30000</v>
      </c>
      <c r="S3" s="2">
        <f t="shared" si="0"/>
        <v>30000</v>
      </c>
      <c r="T3" s="2">
        <f t="shared" si="0"/>
        <v>30000</v>
      </c>
      <c r="U3" s="2">
        <f t="shared" si="0"/>
        <v>30000</v>
      </c>
      <c r="V3" s="2">
        <f t="shared" si="0"/>
        <v>30000</v>
      </c>
      <c r="W3" s="2">
        <f t="shared" si="0"/>
        <v>30000</v>
      </c>
      <c r="X3" s="2">
        <f t="shared" si="0"/>
        <v>30000</v>
      </c>
      <c r="Y3" s="2">
        <f t="shared" si="0"/>
        <v>30000</v>
      </c>
    </row>
    <row r="4" spans="1:25">
      <c r="A4" s="3">
        <v>3</v>
      </c>
      <c r="B4" s="2">
        <f>0.04*1000000</f>
        <v>40000</v>
      </c>
      <c r="C4" s="2">
        <f>0.04*1000000*1.3</f>
        <v>52000</v>
      </c>
      <c r="D4" s="2">
        <f>0.04*1000000*0.55</f>
        <v>22000</v>
      </c>
      <c r="E4" s="2">
        <f t="shared" ref="E4:Y4" si="1">0.04*1000000</f>
        <v>40000</v>
      </c>
      <c r="F4" s="2">
        <f t="shared" si="1"/>
        <v>40000</v>
      </c>
      <c r="G4" s="2">
        <f t="shared" si="1"/>
        <v>40000</v>
      </c>
      <c r="H4" s="2">
        <f t="shared" si="1"/>
        <v>40000</v>
      </c>
      <c r="I4" s="2">
        <f t="shared" si="1"/>
        <v>40000</v>
      </c>
      <c r="J4" s="2">
        <f t="shared" si="1"/>
        <v>40000</v>
      </c>
      <c r="K4" s="2">
        <f t="shared" si="1"/>
        <v>40000</v>
      </c>
      <c r="L4" s="2">
        <f t="shared" si="1"/>
        <v>40000</v>
      </c>
      <c r="M4" s="2">
        <f t="shared" si="1"/>
        <v>40000</v>
      </c>
      <c r="N4" s="2">
        <f t="shared" si="1"/>
        <v>40000</v>
      </c>
      <c r="O4" s="2">
        <f t="shared" si="1"/>
        <v>40000</v>
      </c>
      <c r="P4" s="2">
        <f t="shared" si="1"/>
        <v>40000</v>
      </c>
      <c r="Q4" s="2">
        <f t="shared" si="1"/>
        <v>40000</v>
      </c>
      <c r="R4" s="2">
        <f t="shared" si="1"/>
        <v>40000</v>
      </c>
      <c r="S4" s="2">
        <f t="shared" si="1"/>
        <v>40000</v>
      </c>
      <c r="T4" s="2">
        <f t="shared" si="1"/>
        <v>40000</v>
      </c>
      <c r="U4" s="2">
        <f t="shared" si="1"/>
        <v>40000</v>
      </c>
      <c r="V4" s="2">
        <f t="shared" si="1"/>
        <v>40000</v>
      </c>
      <c r="W4" s="2">
        <f t="shared" si="1"/>
        <v>40000</v>
      </c>
      <c r="X4" s="2">
        <f t="shared" si="1"/>
        <v>40000</v>
      </c>
      <c r="Y4" s="2">
        <f t="shared" si="1"/>
        <v>40000</v>
      </c>
    </row>
    <row r="5" spans="1:25">
      <c r="A5" s="3">
        <v>4</v>
      </c>
      <c r="B5" s="2">
        <f>0.08*1000000</f>
        <v>80000</v>
      </c>
      <c r="C5" s="2">
        <f>0.08*1000000*1.3</f>
        <v>104000</v>
      </c>
      <c r="D5" s="2">
        <f>0.08*1000000*0.55</f>
        <v>44000</v>
      </c>
      <c r="E5" s="2">
        <f t="shared" ref="E5:Y5" si="2">0.08*1000000</f>
        <v>80000</v>
      </c>
      <c r="F5" s="2">
        <f t="shared" si="2"/>
        <v>80000</v>
      </c>
      <c r="G5" s="2">
        <f t="shared" si="2"/>
        <v>80000</v>
      </c>
      <c r="H5" s="2">
        <f t="shared" si="2"/>
        <v>80000</v>
      </c>
      <c r="I5" s="2">
        <f t="shared" si="2"/>
        <v>80000</v>
      </c>
      <c r="J5" s="2">
        <f t="shared" si="2"/>
        <v>80000</v>
      </c>
      <c r="K5" s="2">
        <f t="shared" si="2"/>
        <v>80000</v>
      </c>
      <c r="L5" s="2">
        <f t="shared" si="2"/>
        <v>80000</v>
      </c>
      <c r="M5" s="2">
        <f t="shared" si="2"/>
        <v>80000</v>
      </c>
      <c r="N5" s="2">
        <f t="shared" si="2"/>
        <v>80000</v>
      </c>
      <c r="O5" s="2">
        <f t="shared" si="2"/>
        <v>80000</v>
      </c>
      <c r="P5" s="2">
        <f t="shared" si="2"/>
        <v>80000</v>
      </c>
      <c r="Q5" s="2">
        <f t="shared" si="2"/>
        <v>80000</v>
      </c>
      <c r="R5" s="2">
        <f t="shared" si="2"/>
        <v>80000</v>
      </c>
      <c r="S5" s="2">
        <f t="shared" si="2"/>
        <v>80000</v>
      </c>
      <c r="T5" s="2">
        <f t="shared" si="2"/>
        <v>80000</v>
      </c>
      <c r="U5" s="2">
        <f t="shared" si="2"/>
        <v>80000</v>
      </c>
      <c r="V5" s="2">
        <f t="shared" si="2"/>
        <v>80000</v>
      </c>
      <c r="W5" s="2">
        <f t="shared" si="2"/>
        <v>80000</v>
      </c>
      <c r="X5" s="2">
        <f t="shared" si="2"/>
        <v>80000</v>
      </c>
      <c r="Y5" s="2">
        <f t="shared" si="2"/>
        <v>80000</v>
      </c>
    </row>
    <row r="6" spans="1:25">
      <c r="A6" s="3">
        <v>5</v>
      </c>
      <c r="B6" s="2">
        <f>0.03*1000000</f>
        <v>30000</v>
      </c>
      <c r="C6" s="2">
        <f>0.03*1000000*1.3</f>
        <v>39000</v>
      </c>
      <c r="D6" s="2">
        <f>0.03*1000000*0.55</f>
        <v>16500</v>
      </c>
      <c r="E6" s="2">
        <f t="shared" ref="E6:Y6" si="3">0.03*1000000</f>
        <v>30000</v>
      </c>
      <c r="F6" s="2">
        <f t="shared" si="3"/>
        <v>30000</v>
      </c>
      <c r="G6" s="2">
        <f t="shared" si="3"/>
        <v>30000</v>
      </c>
      <c r="H6" s="2">
        <f t="shared" si="3"/>
        <v>30000</v>
      </c>
      <c r="I6" s="2">
        <f t="shared" si="3"/>
        <v>30000</v>
      </c>
      <c r="J6" s="2">
        <f t="shared" si="3"/>
        <v>30000</v>
      </c>
      <c r="K6" s="2">
        <f t="shared" si="3"/>
        <v>30000</v>
      </c>
      <c r="L6" s="2">
        <f t="shared" si="3"/>
        <v>30000</v>
      </c>
      <c r="M6" s="2">
        <f t="shared" si="3"/>
        <v>30000</v>
      </c>
      <c r="N6" s="2">
        <f t="shared" si="3"/>
        <v>30000</v>
      </c>
      <c r="O6" s="2">
        <f t="shared" si="3"/>
        <v>30000</v>
      </c>
      <c r="P6" s="2">
        <f t="shared" si="3"/>
        <v>30000</v>
      </c>
      <c r="Q6" s="2">
        <f t="shared" si="3"/>
        <v>30000</v>
      </c>
      <c r="R6" s="2">
        <f t="shared" si="3"/>
        <v>30000</v>
      </c>
      <c r="S6" s="2">
        <f t="shared" si="3"/>
        <v>30000</v>
      </c>
      <c r="T6" s="2">
        <f t="shared" si="3"/>
        <v>30000</v>
      </c>
      <c r="U6" s="2">
        <f t="shared" si="3"/>
        <v>30000</v>
      </c>
      <c r="V6" s="2">
        <f t="shared" si="3"/>
        <v>30000</v>
      </c>
      <c r="W6" s="2">
        <f t="shared" si="3"/>
        <v>30000</v>
      </c>
      <c r="X6" s="2">
        <f t="shared" si="3"/>
        <v>30000</v>
      </c>
      <c r="Y6" s="2">
        <f t="shared" si="3"/>
        <v>30000</v>
      </c>
    </row>
    <row r="7" spans="1:25">
      <c r="A7" s="3">
        <v>6</v>
      </c>
      <c r="B7" s="2">
        <f>0.02*1000000</f>
        <v>20000</v>
      </c>
      <c r="C7" s="2">
        <f>0.02*1000000*1.3</f>
        <v>26000</v>
      </c>
      <c r="D7" s="2">
        <f>0.02*1000000*0.55</f>
        <v>11000</v>
      </c>
      <c r="E7" s="2">
        <f t="shared" ref="E7:Y7" si="4">0.02*1000000</f>
        <v>20000</v>
      </c>
      <c r="F7" s="2">
        <f t="shared" si="4"/>
        <v>20000</v>
      </c>
      <c r="G7" s="2">
        <f t="shared" si="4"/>
        <v>20000</v>
      </c>
      <c r="H7" s="2">
        <f t="shared" si="4"/>
        <v>20000</v>
      </c>
      <c r="I7" s="2">
        <f t="shared" si="4"/>
        <v>20000</v>
      </c>
      <c r="J7" s="2">
        <f t="shared" si="4"/>
        <v>20000</v>
      </c>
      <c r="K7" s="2">
        <f t="shared" si="4"/>
        <v>20000</v>
      </c>
      <c r="L7" s="2">
        <f t="shared" si="4"/>
        <v>20000</v>
      </c>
      <c r="M7" s="2">
        <f t="shared" si="4"/>
        <v>20000</v>
      </c>
      <c r="N7" s="2">
        <f t="shared" si="4"/>
        <v>20000</v>
      </c>
      <c r="O7" s="2">
        <f t="shared" si="4"/>
        <v>20000</v>
      </c>
      <c r="P7" s="2">
        <f t="shared" si="4"/>
        <v>20000</v>
      </c>
      <c r="Q7" s="2">
        <f t="shared" si="4"/>
        <v>20000</v>
      </c>
      <c r="R7" s="2">
        <f t="shared" si="4"/>
        <v>20000</v>
      </c>
      <c r="S7" s="2">
        <f t="shared" si="4"/>
        <v>20000</v>
      </c>
      <c r="T7" s="2">
        <f t="shared" si="4"/>
        <v>20000</v>
      </c>
      <c r="U7" s="2">
        <f t="shared" si="4"/>
        <v>20000</v>
      </c>
      <c r="V7" s="2">
        <f t="shared" si="4"/>
        <v>20000</v>
      </c>
      <c r="W7" s="2">
        <f t="shared" si="4"/>
        <v>20000</v>
      </c>
      <c r="X7" s="2">
        <f t="shared" si="4"/>
        <v>20000</v>
      </c>
      <c r="Y7" s="2">
        <f t="shared" si="4"/>
        <v>20000</v>
      </c>
    </row>
    <row r="8" spans="1:25">
      <c r="A8" s="3">
        <v>7</v>
      </c>
      <c r="B8" s="2">
        <f>0.1*1000000</f>
        <v>100000</v>
      </c>
      <c r="C8" s="2">
        <f>0.1*1000000*1.3</f>
        <v>130000</v>
      </c>
      <c r="D8" s="2">
        <f>0.1*1000000*0.55</f>
        <v>55000.000000000007</v>
      </c>
      <c r="E8" s="2">
        <f t="shared" ref="E8:Y9" si="5">0.1*1000000</f>
        <v>100000</v>
      </c>
      <c r="F8" s="2">
        <f t="shared" si="5"/>
        <v>100000</v>
      </c>
      <c r="G8" s="2">
        <f t="shared" si="5"/>
        <v>100000</v>
      </c>
      <c r="H8" s="2">
        <f t="shared" si="5"/>
        <v>100000</v>
      </c>
      <c r="I8" s="2">
        <f t="shared" si="5"/>
        <v>100000</v>
      </c>
      <c r="J8" s="2">
        <f t="shared" si="5"/>
        <v>100000</v>
      </c>
      <c r="K8" s="2">
        <f t="shared" si="5"/>
        <v>100000</v>
      </c>
      <c r="L8" s="2">
        <f t="shared" si="5"/>
        <v>100000</v>
      </c>
      <c r="M8" s="2">
        <f t="shared" si="5"/>
        <v>100000</v>
      </c>
      <c r="N8" s="2">
        <f t="shared" si="5"/>
        <v>100000</v>
      </c>
      <c r="O8" s="2">
        <f t="shared" si="5"/>
        <v>100000</v>
      </c>
      <c r="P8" s="2">
        <f t="shared" si="5"/>
        <v>100000</v>
      </c>
      <c r="Q8" s="2">
        <f t="shared" si="5"/>
        <v>100000</v>
      </c>
      <c r="R8" s="2">
        <f t="shared" si="5"/>
        <v>100000</v>
      </c>
      <c r="S8" s="2">
        <f t="shared" si="5"/>
        <v>100000</v>
      </c>
      <c r="T8" s="2">
        <f t="shared" si="5"/>
        <v>100000</v>
      </c>
      <c r="U8" s="2">
        <f t="shared" si="5"/>
        <v>100000</v>
      </c>
      <c r="V8" s="2">
        <f t="shared" si="5"/>
        <v>100000</v>
      </c>
      <c r="W8" s="2">
        <f t="shared" si="5"/>
        <v>100000</v>
      </c>
      <c r="X8" s="2">
        <f t="shared" si="5"/>
        <v>100000</v>
      </c>
      <c r="Y8" s="2">
        <f t="shared" si="5"/>
        <v>100000</v>
      </c>
    </row>
    <row r="9" spans="1:25">
      <c r="A9" s="3">
        <v>8</v>
      </c>
      <c r="B9" s="2">
        <f>0.1*1000000</f>
        <v>100000</v>
      </c>
      <c r="C9" s="2">
        <f>0.1*1000000*1.3</f>
        <v>130000</v>
      </c>
      <c r="D9" s="2">
        <f>0.1*1000000*0.55</f>
        <v>55000.000000000007</v>
      </c>
      <c r="E9" s="2">
        <f t="shared" si="5"/>
        <v>100000</v>
      </c>
      <c r="F9" s="2">
        <f t="shared" si="5"/>
        <v>100000</v>
      </c>
      <c r="G9" s="2">
        <f t="shared" si="5"/>
        <v>100000</v>
      </c>
      <c r="H9" s="2">
        <f t="shared" si="5"/>
        <v>100000</v>
      </c>
      <c r="I9" s="2">
        <f t="shared" si="5"/>
        <v>100000</v>
      </c>
      <c r="J9" s="2">
        <f t="shared" si="5"/>
        <v>100000</v>
      </c>
      <c r="K9" s="2">
        <f t="shared" si="5"/>
        <v>100000</v>
      </c>
      <c r="L9" s="2">
        <f t="shared" si="5"/>
        <v>100000</v>
      </c>
      <c r="M9" s="2">
        <f t="shared" si="5"/>
        <v>100000</v>
      </c>
      <c r="N9" s="2">
        <f t="shared" si="5"/>
        <v>100000</v>
      </c>
      <c r="O9" s="2">
        <f t="shared" si="5"/>
        <v>100000</v>
      </c>
      <c r="P9" s="2">
        <f t="shared" si="5"/>
        <v>100000</v>
      </c>
      <c r="Q9" s="2">
        <f t="shared" si="5"/>
        <v>100000</v>
      </c>
      <c r="R9" s="2">
        <f t="shared" si="5"/>
        <v>100000</v>
      </c>
      <c r="S9" s="2">
        <f t="shared" si="5"/>
        <v>100000</v>
      </c>
      <c r="T9" s="2">
        <f t="shared" si="5"/>
        <v>100000</v>
      </c>
      <c r="U9" s="2">
        <f t="shared" si="5"/>
        <v>100000</v>
      </c>
      <c r="V9" s="2">
        <f t="shared" si="5"/>
        <v>100000</v>
      </c>
      <c r="W9" s="2">
        <f t="shared" si="5"/>
        <v>100000</v>
      </c>
      <c r="X9" s="2">
        <f t="shared" si="5"/>
        <v>100000</v>
      </c>
      <c r="Y9" s="2">
        <f t="shared" si="5"/>
        <v>100000</v>
      </c>
    </row>
    <row r="10" spans="1:25">
      <c r="A10" s="3">
        <v>9</v>
      </c>
      <c r="B10" s="2">
        <f>0.02*1000000</f>
        <v>20000</v>
      </c>
      <c r="C10" s="2">
        <f>0.02*1000000*1.3</f>
        <v>26000</v>
      </c>
      <c r="D10" s="2">
        <f>0.02*1000000*0.55</f>
        <v>11000</v>
      </c>
      <c r="E10" s="2">
        <f t="shared" ref="E10:Y11" si="6">0.02*1000000</f>
        <v>20000</v>
      </c>
      <c r="F10" s="2">
        <f t="shared" si="6"/>
        <v>20000</v>
      </c>
      <c r="G10" s="2">
        <f t="shared" si="6"/>
        <v>20000</v>
      </c>
      <c r="H10" s="2">
        <f t="shared" si="6"/>
        <v>20000</v>
      </c>
      <c r="I10" s="2">
        <f t="shared" si="6"/>
        <v>20000</v>
      </c>
      <c r="J10" s="2">
        <f t="shared" si="6"/>
        <v>20000</v>
      </c>
      <c r="K10" s="2">
        <f t="shared" si="6"/>
        <v>20000</v>
      </c>
      <c r="L10" s="2">
        <f t="shared" si="6"/>
        <v>20000</v>
      </c>
      <c r="M10" s="2">
        <f t="shared" si="6"/>
        <v>20000</v>
      </c>
      <c r="N10" s="2">
        <f t="shared" si="6"/>
        <v>20000</v>
      </c>
      <c r="O10" s="2">
        <f t="shared" si="6"/>
        <v>20000</v>
      </c>
      <c r="P10" s="2">
        <f t="shared" si="6"/>
        <v>20000</v>
      </c>
      <c r="Q10" s="2">
        <f t="shared" si="6"/>
        <v>20000</v>
      </c>
      <c r="R10" s="2">
        <f t="shared" si="6"/>
        <v>20000</v>
      </c>
      <c r="S10" s="2">
        <f t="shared" si="6"/>
        <v>20000</v>
      </c>
      <c r="T10" s="2">
        <f t="shared" si="6"/>
        <v>20000</v>
      </c>
      <c r="U10" s="2">
        <f t="shared" si="6"/>
        <v>20000</v>
      </c>
      <c r="V10" s="2">
        <f t="shared" si="6"/>
        <v>20000</v>
      </c>
      <c r="W10" s="2">
        <f t="shared" si="6"/>
        <v>20000</v>
      </c>
      <c r="X10" s="2">
        <f t="shared" si="6"/>
        <v>20000</v>
      </c>
      <c r="Y10" s="2">
        <f t="shared" si="6"/>
        <v>20000</v>
      </c>
    </row>
    <row r="11" spans="1:25">
      <c r="A11" s="3">
        <v>10</v>
      </c>
      <c r="B11" s="2">
        <f>0.02*1000000</f>
        <v>20000</v>
      </c>
      <c r="C11" s="2">
        <f>0.02*1000000*1.3</f>
        <v>26000</v>
      </c>
      <c r="D11" s="2">
        <f>0.02*1000000*0.55</f>
        <v>11000</v>
      </c>
      <c r="E11" s="2">
        <f t="shared" si="6"/>
        <v>20000</v>
      </c>
      <c r="F11" s="2">
        <f t="shared" si="6"/>
        <v>20000</v>
      </c>
      <c r="G11" s="2">
        <f t="shared" si="6"/>
        <v>20000</v>
      </c>
      <c r="H11" s="2">
        <f t="shared" si="6"/>
        <v>20000</v>
      </c>
      <c r="I11" s="2">
        <f t="shared" si="6"/>
        <v>20000</v>
      </c>
      <c r="J11" s="2">
        <f t="shared" si="6"/>
        <v>20000</v>
      </c>
      <c r="K11" s="2">
        <f t="shared" si="6"/>
        <v>20000</v>
      </c>
      <c r="L11" s="2">
        <f t="shared" si="6"/>
        <v>20000</v>
      </c>
      <c r="M11" s="2">
        <f t="shared" si="6"/>
        <v>20000</v>
      </c>
      <c r="N11" s="2">
        <f t="shared" si="6"/>
        <v>20000</v>
      </c>
      <c r="O11" s="2">
        <f t="shared" si="6"/>
        <v>20000</v>
      </c>
      <c r="P11" s="2">
        <f t="shared" si="6"/>
        <v>20000</v>
      </c>
      <c r="Q11" s="2">
        <f t="shared" si="6"/>
        <v>20000</v>
      </c>
      <c r="R11" s="2">
        <f t="shared" si="6"/>
        <v>20000</v>
      </c>
      <c r="S11" s="2">
        <f t="shared" si="6"/>
        <v>20000</v>
      </c>
      <c r="T11" s="2">
        <f t="shared" si="6"/>
        <v>20000</v>
      </c>
      <c r="U11" s="2">
        <f t="shared" si="6"/>
        <v>20000</v>
      </c>
      <c r="V11" s="2">
        <f t="shared" si="6"/>
        <v>20000</v>
      </c>
      <c r="W11" s="2">
        <f t="shared" si="6"/>
        <v>20000</v>
      </c>
      <c r="X11" s="2">
        <f t="shared" si="6"/>
        <v>20000</v>
      </c>
      <c r="Y11" s="2">
        <f t="shared" si="6"/>
        <v>20000</v>
      </c>
    </row>
    <row r="12" spans="1:25">
      <c r="A12" s="3">
        <v>11</v>
      </c>
      <c r="B12" s="2">
        <f>0.03*1000000</f>
        <v>30000</v>
      </c>
      <c r="C12" s="2">
        <f>0.03*1000000*1.3</f>
        <v>39000</v>
      </c>
      <c r="D12" s="2">
        <f>0.03*1000000*0.55</f>
        <v>16500</v>
      </c>
      <c r="E12" s="2">
        <f t="shared" ref="E12:Y12" si="7">0.03*1000000</f>
        <v>30000</v>
      </c>
      <c r="F12" s="2">
        <f t="shared" si="7"/>
        <v>30000</v>
      </c>
      <c r="G12" s="2">
        <f t="shared" si="7"/>
        <v>30000</v>
      </c>
      <c r="H12" s="2">
        <f t="shared" si="7"/>
        <v>30000</v>
      </c>
      <c r="I12" s="2">
        <f t="shared" si="7"/>
        <v>30000</v>
      </c>
      <c r="J12" s="2">
        <f t="shared" si="7"/>
        <v>30000</v>
      </c>
      <c r="K12" s="2">
        <f t="shared" si="7"/>
        <v>30000</v>
      </c>
      <c r="L12" s="2">
        <f t="shared" si="7"/>
        <v>30000</v>
      </c>
      <c r="M12" s="2">
        <f t="shared" si="7"/>
        <v>30000</v>
      </c>
      <c r="N12" s="2">
        <f t="shared" si="7"/>
        <v>30000</v>
      </c>
      <c r="O12" s="2">
        <f t="shared" si="7"/>
        <v>30000</v>
      </c>
      <c r="P12" s="2">
        <f t="shared" si="7"/>
        <v>30000</v>
      </c>
      <c r="Q12" s="2">
        <f t="shared" si="7"/>
        <v>30000</v>
      </c>
      <c r="R12" s="2">
        <f t="shared" si="7"/>
        <v>30000</v>
      </c>
      <c r="S12" s="2">
        <f t="shared" si="7"/>
        <v>30000</v>
      </c>
      <c r="T12" s="2">
        <f t="shared" si="7"/>
        <v>30000</v>
      </c>
      <c r="U12" s="2">
        <f t="shared" si="7"/>
        <v>30000</v>
      </c>
      <c r="V12" s="2">
        <f t="shared" si="7"/>
        <v>30000</v>
      </c>
      <c r="W12" s="2">
        <f t="shared" si="7"/>
        <v>30000</v>
      </c>
      <c r="X12" s="2">
        <f t="shared" si="7"/>
        <v>30000</v>
      </c>
      <c r="Y12" s="2">
        <f t="shared" si="7"/>
        <v>30000</v>
      </c>
    </row>
    <row r="13" spans="1:25">
      <c r="A13" s="3">
        <v>12</v>
      </c>
      <c r="B13" s="2">
        <f>0.035*1000000</f>
        <v>35000</v>
      </c>
      <c r="C13" s="2">
        <f>0.035*1000000*1.3</f>
        <v>45500</v>
      </c>
      <c r="D13" s="2">
        <f>0.035*1000000*0.55</f>
        <v>19250</v>
      </c>
      <c r="E13" s="2">
        <f t="shared" ref="E13:Y14" si="8">0.035*1000000</f>
        <v>35000</v>
      </c>
      <c r="F13" s="2">
        <f t="shared" si="8"/>
        <v>35000</v>
      </c>
      <c r="G13" s="2">
        <f t="shared" si="8"/>
        <v>35000</v>
      </c>
      <c r="H13" s="2">
        <f t="shared" si="8"/>
        <v>35000</v>
      </c>
      <c r="I13" s="2">
        <f t="shared" si="8"/>
        <v>35000</v>
      </c>
      <c r="J13" s="2">
        <f t="shared" si="8"/>
        <v>35000</v>
      </c>
      <c r="K13" s="2">
        <f t="shared" si="8"/>
        <v>35000</v>
      </c>
      <c r="L13" s="2">
        <f t="shared" si="8"/>
        <v>35000</v>
      </c>
      <c r="M13" s="2">
        <f t="shared" si="8"/>
        <v>35000</v>
      </c>
      <c r="N13" s="2">
        <f t="shared" si="8"/>
        <v>35000</v>
      </c>
      <c r="O13" s="2">
        <f t="shared" si="8"/>
        <v>35000</v>
      </c>
      <c r="P13" s="2">
        <f t="shared" si="8"/>
        <v>35000</v>
      </c>
      <c r="Q13" s="2">
        <f t="shared" si="8"/>
        <v>35000</v>
      </c>
      <c r="R13" s="2">
        <f t="shared" si="8"/>
        <v>35000</v>
      </c>
      <c r="S13" s="2">
        <f t="shared" si="8"/>
        <v>35000</v>
      </c>
      <c r="T13" s="2">
        <f t="shared" si="8"/>
        <v>35000</v>
      </c>
      <c r="U13" s="2">
        <f t="shared" si="8"/>
        <v>35000</v>
      </c>
      <c r="V13" s="2">
        <f t="shared" si="8"/>
        <v>35000</v>
      </c>
      <c r="W13" s="2">
        <f t="shared" si="8"/>
        <v>35000</v>
      </c>
      <c r="X13" s="2">
        <f t="shared" si="8"/>
        <v>35000</v>
      </c>
      <c r="Y13" s="2">
        <f t="shared" si="8"/>
        <v>35000</v>
      </c>
    </row>
    <row r="14" spans="1:25">
      <c r="A14" s="3">
        <v>13</v>
      </c>
      <c r="B14" s="2">
        <f>0.035*1000000</f>
        <v>35000</v>
      </c>
      <c r="C14" s="2">
        <f>0.035*1000000*1.3</f>
        <v>45500</v>
      </c>
      <c r="D14" s="2">
        <f>0.035*1000000*0.55</f>
        <v>19250</v>
      </c>
      <c r="E14" s="2">
        <f t="shared" si="8"/>
        <v>35000</v>
      </c>
      <c r="F14" s="2">
        <f t="shared" si="8"/>
        <v>35000</v>
      </c>
      <c r="G14" s="2">
        <f t="shared" si="8"/>
        <v>35000</v>
      </c>
      <c r="H14" s="2">
        <f t="shared" si="8"/>
        <v>35000</v>
      </c>
      <c r="I14" s="2">
        <f t="shared" si="8"/>
        <v>35000</v>
      </c>
      <c r="J14" s="2">
        <f t="shared" si="8"/>
        <v>35000</v>
      </c>
      <c r="K14" s="2">
        <f t="shared" si="8"/>
        <v>35000</v>
      </c>
      <c r="L14" s="2">
        <f t="shared" si="8"/>
        <v>35000</v>
      </c>
      <c r="M14" s="2">
        <f t="shared" si="8"/>
        <v>35000</v>
      </c>
      <c r="N14" s="2">
        <f t="shared" si="8"/>
        <v>35000</v>
      </c>
      <c r="O14" s="2">
        <f t="shared" si="8"/>
        <v>35000</v>
      </c>
      <c r="P14" s="2">
        <f t="shared" si="8"/>
        <v>35000</v>
      </c>
      <c r="Q14" s="2">
        <f t="shared" si="8"/>
        <v>35000</v>
      </c>
      <c r="R14" s="2">
        <f t="shared" si="8"/>
        <v>35000</v>
      </c>
      <c r="S14" s="2">
        <f t="shared" si="8"/>
        <v>35000</v>
      </c>
      <c r="T14" s="2">
        <f t="shared" si="8"/>
        <v>35000</v>
      </c>
      <c r="U14" s="2">
        <f t="shared" si="8"/>
        <v>35000</v>
      </c>
      <c r="V14" s="2">
        <f t="shared" si="8"/>
        <v>35000</v>
      </c>
      <c r="W14" s="2">
        <f t="shared" si="8"/>
        <v>35000</v>
      </c>
      <c r="X14" s="2">
        <f t="shared" si="8"/>
        <v>35000</v>
      </c>
      <c r="Y14" s="2">
        <f t="shared" si="8"/>
        <v>35000</v>
      </c>
    </row>
    <row r="15" spans="1:25">
      <c r="A15" s="3">
        <v>14</v>
      </c>
      <c r="B15" s="2">
        <f>0.08*1000000</f>
        <v>80000</v>
      </c>
      <c r="C15" s="2">
        <f>0.08*1000000*1.3</f>
        <v>104000</v>
      </c>
      <c r="D15" s="2">
        <f>0.08*1000000*0.55</f>
        <v>44000</v>
      </c>
      <c r="E15" s="2">
        <f t="shared" ref="E15:Y15" si="9">0.08*1000000</f>
        <v>80000</v>
      </c>
      <c r="F15" s="2">
        <f t="shared" si="9"/>
        <v>80000</v>
      </c>
      <c r="G15" s="2">
        <f t="shared" si="9"/>
        <v>80000</v>
      </c>
      <c r="H15" s="2">
        <f t="shared" si="9"/>
        <v>80000</v>
      </c>
      <c r="I15" s="2">
        <f t="shared" si="9"/>
        <v>80000</v>
      </c>
      <c r="J15" s="2">
        <f t="shared" si="9"/>
        <v>80000</v>
      </c>
      <c r="K15" s="2">
        <f t="shared" si="9"/>
        <v>80000</v>
      </c>
      <c r="L15" s="2">
        <f t="shared" si="9"/>
        <v>80000</v>
      </c>
      <c r="M15" s="2">
        <f t="shared" si="9"/>
        <v>80000</v>
      </c>
      <c r="N15" s="2">
        <f t="shared" si="9"/>
        <v>80000</v>
      </c>
      <c r="O15" s="2">
        <f t="shared" si="9"/>
        <v>80000</v>
      </c>
      <c r="P15" s="2">
        <f t="shared" si="9"/>
        <v>80000</v>
      </c>
      <c r="Q15" s="2">
        <f t="shared" si="9"/>
        <v>80000</v>
      </c>
      <c r="R15" s="2">
        <f t="shared" si="9"/>
        <v>80000</v>
      </c>
      <c r="S15" s="2">
        <f t="shared" si="9"/>
        <v>80000</v>
      </c>
      <c r="T15" s="2">
        <f t="shared" si="9"/>
        <v>80000</v>
      </c>
      <c r="U15" s="2">
        <f t="shared" si="9"/>
        <v>80000</v>
      </c>
      <c r="V15" s="2">
        <f t="shared" si="9"/>
        <v>80000</v>
      </c>
      <c r="W15" s="2">
        <f t="shared" si="9"/>
        <v>80000</v>
      </c>
      <c r="X15" s="2">
        <f t="shared" si="9"/>
        <v>80000</v>
      </c>
      <c r="Y15" s="2">
        <f t="shared" si="9"/>
        <v>80000</v>
      </c>
    </row>
    <row r="16" spans="1:25">
      <c r="A16" s="3">
        <v>15</v>
      </c>
      <c r="B16" s="2">
        <f>0.01*1000000</f>
        <v>10000</v>
      </c>
      <c r="C16" s="2">
        <f>0.01*1000000*1.3</f>
        <v>13000</v>
      </c>
      <c r="D16" s="2">
        <f>0.01*1000000*0.55</f>
        <v>5500</v>
      </c>
      <c r="E16" s="2">
        <f t="shared" ref="E16:Y16" si="10">0.01*1000000</f>
        <v>10000</v>
      </c>
      <c r="F16" s="2">
        <f t="shared" si="10"/>
        <v>10000</v>
      </c>
      <c r="G16" s="2">
        <f t="shared" si="10"/>
        <v>10000</v>
      </c>
      <c r="H16" s="2">
        <f t="shared" si="10"/>
        <v>10000</v>
      </c>
      <c r="I16" s="2">
        <f t="shared" si="10"/>
        <v>10000</v>
      </c>
      <c r="J16" s="2">
        <f t="shared" si="10"/>
        <v>10000</v>
      </c>
      <c r="K16" s="2">
        <f t="shared" si="10"/>
        <v>10000</v>
      </c>
      <c r="L16" s="2">
        <f t="shared" si="10"/>
        <v>10000</v>
      </c>
      <c r="M16" s="2">
        <f t="shared" si="10"/>
        <v>10000</v>
      </c>
      <c r="N16" s="2">
        <f t="shared" si="10"/>
        <v>10000</v>
      </c>
      <c r="O16" s="2">
        <f t="shared" si="10"/>
        <v>10000</v>
      </c>
      <c r="P16" s="2">
        <f t="shared" si="10"/>
        <v>10000</v>
      </c>
      <c r="Q16" s="2">
        <f t="shared" si="10"/>
        <v>10000</v>
      </c>
      <c r="R16" s="2">
        <f t="shared" si="10"/>
        <v>10000</v>
      </c>
      <c r="S16" s="2">
        <f t="shared" si="10"/>
        <v>10000</v>
      </c>
      <c r="T16" s="2">
        <f t="shared" si="10"/>
        <v>10000</v>
      </c>
      <c r="U16" s="2">
        <f t="shared" si="10"/>
        <v>10000</v>
      </c>
      <c r="V16" s="2">
        <f t="shared" si="10"/>
        <v>10000</v>
      </c>
      <c r="W16" s="2">
        <f t="shared" si="10"/>
        <v>10000</v>
      </c>
      <c r="X16" s="2">
        <f t="shared" si="10"/>
        <v>10000</v>
      </c>
      <c r="Y16" s="2">
        <f t="shared" si="10"/>
        <v>10000</v>
      </c>
    </row>
    <row r="17" spans="1:25">
      <c r="A17" s="3">
        <v>16</v>
      </c>
      <c r="B17" s="2">
        <f>0.02*1000000</f>
        <v>20000</v>
      </c>
      <c r="C17" s="2">
        <f>0.02*1000000*1.3</f>
        <v>26000</v>
      </c>
      <c r="D17" s="2">
        <f>0.02*1000000*0.55</f>
        <v>11000</v>
      </c>
      <c r="E17" s="2">
        <f t="shared" ref="E17:Y18" si="11">0.02*1000000</f>
        <v>20000</v>
      </c>
      <c r="F17" s="2">
        <f t="shared" si="11"/>
        <v>20000</v>
      </c>
      <c r="G17" s="2">
        <f t="shared" si="11"/>
        <v>20000</v>
      </c>
      <c r="H17" s="2">
        <f t="shared" si="11"/>
        <v>20000</v>
      </c>
      <c r="I17" s="2">
        <f t="shared" si="11"/>
        <v>20000</v>
      </c>
      <c r="J17" s="2">
        <f t="shared" si="11"/>
        <v>20000</v>
      </c>
      <c r="K17" s="2">
        <f t="shared" si="11"/>
        <v>20000</v>
      </c>
      <c r="L17" s="2">
        <f t="shared" si="11"/>
        <v>20000</v>
      </c>
      <c r="M17" s="2">
        <f t="shared" si="11"/>
        <v>20000</v>
      </c>
      <c r="N17" s="2">
        <f t="shared" si="11"/>
        <v>20000</v>
      </c>
      <c r="O17" s="2">
        <f t="shared" si="11"/>
        <v>20000</v>
      </c>
      <c r="P17" s="2">
        <f t="shared" si="11"/>
        <v>20000</v>
      </c>
      <c r="Q17" s="2">
        <f t="shared" si="11"/>
        <v>20000</v>
      </c>
      <c r="R17" s="2">
        <f t="shared" si="11"/>
        <v>20000</v>
      </c>
      <c r="S17" s="2">
        <f t="shared" si="11"/>
        <v>20000</v>
      </c>
      <c r="T17" s="2">
        <f t="shared" si="11"/>
        <v>20000</v>
      </c>
      <c r="U17" s="2">
        <f t="shared" si="11"/>
        <v>20000</v>
      </c>
      <c r="V17" s="2">
        <f t="shared" si="11"/>
        <v>20000</v>
      </c>
      <c r="W17" s="2">
        <f t="shared" si="11"/>
        <v>20000</v>
      </c>
      <c r="X17" s="2">
        <f t="shared" si="11"/>
        <v>20000</v>
      </c>
      <c r="Y17" s="2">
        <f t="shared" si="11"/>
        <v>20000</v>
      </c>
    </row>
    <row r="18" spans="1:25">
      <c r="A18" s="3">
        <v>17</v>
      </c>
      <c r="B18" s="2">
        <f>0.02*1000000</f>
        <v>20000</v>
      </c>
      <c r="C18" s="2">
        <f>0.02*1000000*1.3</f>
        <v>26000</v>
      </c>
      <c r="D18" s="2">
        <f>0.02*1000000*0.55</f>
        <v>11000</v>
      </c>
      <c r="E18" s="2">
        <f t="shared" si="11"/>
        <v>20000</v>
      </c>
      <c r="F18" s="2">
        <f t="shared" si="11"/>
        <v>20000</v>
      </c>
      <c r="G18" s="2">
        <f t="shared" si="11"/>
        <v>20000</v>
      </c>
      <c r="H18" s="2">
        <f t="shared" si="11"/>
        <v>20000</v>
      </c>
      <c r="I18" s="2">
        <f t="shared" si="11"/>
        <v>20000</v>
      </c>
      <c r="J18" s="2">
        <f t="shared" si="11"/>
        <v>20000</v>
      </c>
      <c r="K18" s="2">
        <f t="shared" si="11"/>
        <v>20000</v>
      </c>
      <c r="L18" s="2">
        <f t="shared" si="11"/>
        <v>20000</v>
      </c>
      <c r="M18" s="2">
        <f t="shared" si="11"/>
        <v>20000</v>
      </c>
      <c r="N18" s="2">
        <f t="shared" si="11"/>
        <v>20000</v>
      </c>
      <c r="O18" s="2">
        <f t="shared" si="11"/>
        <v>20000</v>
      </c>
      <c r="P18" s="2">
        <f t="shared" si="11"/>
        <v>20000</v>
      </c>
      <c r="Q18" s="2">
        <f t="shared" si="11"/>
        <v>20000</v>
      </c>
      <c r="R18" s="2">
        <f t="shared" si="11"/>
        <v>20000</v>
      </c>
      <c r="S18" s="2">
        <f t="shared" si="11"/>
        <v>20000</v>
      </c>
      <c r="T18" s="2">
        <f t="shared" si="11"/>
        <v>20000</v>
      </c>
      <c r="U18" s="2">
        <f t="shared" si="11"/>
        <v>20000</v>
      </c>
      <c r="V18" s="2">
        <f t="shared" si="11"/>
        <v>20000</v>
      </c>
      <c r="W18" s="2">
        <f t="shared" si="11"/>
        <v>20000</v>
      </c>
      <c r="X18" s="2">
        <f t="shared" si="11"/>
        <v>20000</v>
      </c>
      <c r="Y18" s="2">
        <f t="shared" si="11"/>
        <v>20000</v>
      </c>
    </row>
    <row r="19" spans="1:25">
      <c r="A19" s="3">
        <v>18</v>
      </c>
      <c r="B19" s="2">
        <f>0.04*1000000</f>
        <v>40000</v>
      </c>
      <c r="C19" s="2">
        <f>0.04*1000000*1.3</f>
        <v>52000</v>
      </c>
      <c r="D19" s="2">
        <f>0.04*1000000*0.55</f>
        <v>22000</v>
      </c>
      <c r="E19" s="2">
        <f t="shared" ref="E19:Y23" si="12">0.04*1000000</f>
        <v>40000</v>
      </c>
      <c r="F19" s="2">
        <f t="shared" si="12"/>
        <v>40000</v>
      </c>
      <c r="G19" s="2">
        <f t="shared" si="12"/>
        <v>40000</v>
      </c>
      <c r="H19" s="2">
        <f t="shared" si="12"/>
        <v>40000</v>
      </c>
      <c r="I19" s="2">
        <f t="shared" si="12"/>
        <v>40000</v>
      </c>
      <c r="J19" s="2">
        <f t="shared" si="12"/>
        <v>40000</v>
      </c>
      <c r="K19" s="2">
        <f t="shared" si="12"/>
        <v>40000</v>
      </c>
      <c r="L19" s="2">
        <f t="shared" si="12"/>
        <v>40000</v>
      </c>
      <c r="M19" s="2">
        <f t="shared" si="12"/>
        <v>40000</v>
      </c>
      <c r="N19" s="2">
        <f t="shared" si="12"/>
        <v>40000</v>
      </c>
      <c r="O19" s="2">
        <f t="shared" si="12"/>
        <v>40000</v>
      </c>
      <c r="P19" s="2">
        <f t="shared" si="12"/>
        <v>40000</v>
      </c>
      <c r="Q19" s="2">
        <f t="shared" si="12"/>
        <v>40000</v>
      </c>
      <c r="R19" s="2">
        <f t="shared" si="12"/>
        <v>40000</v>
      </c>
      <c r="S19" s="2">
        <f t="shared" si="12"/>
        <v>40000</v>
      </c>
      <c r="T19" s="2">
        <f t="shared" si="12"/>
        <v>40000</v>
      </c>
      <c r="U19" s="2">
        <f t="shared" si="12"/>
        <v>40000</v>
      </c>
      <c r="V19" s="2">
        <f t="shared" si="12"/>
        <v>40000</v>
      </c>
      <c r="W19" s="2">
        <f t="shared" si="12"/>
        <v>40000</v>
      </c>
      <c r="X19" s="2">
        <f t="shared" si="12"/>
        <v>40000</v>
      </c>
      <c r="Y19" s="2">
        <f t="shared" si="12"/>
        <v>40000</v>
      </c>
    </row>
    <row r="20" spans="1:25">
      <c r="A20" s="3">
        <v>19</v>
      </c>
      <c r="B20" s="2">
        <f t="shared" ref="B20:Q23" si="13">0.04*1000000</f>
        <v>40000</v>
      </c>
      <c r="C20" s="2">
        <f>0.04*1000000*1.3</f>
        <v>52000</v>
      </c>
      <c r="D20" s="2">
        <f>0.04*1000000*0.55</f>
        <v>22000</v>
      </c>
      <c r="E20" s="2">
        <f t="shared" si="13"/>
        <v>40000</v>
      </c>
      <c r="F20" s="2">
        <f t="shared" si="13"/>
        <v>40000</v>
      </c>
      <c r="G20" s="2">
        <f t="shared" si="13"/>
        <v>40000</v>
      </c>
      <c r="H20" s="2">
        <f t="shared" si="13"/>
        <v>40000</v>
      </c>
      <c r="I20" s="2">
        <f t="shared" si="13"/>
        <v>40000</v>
      </c>
      <c r="J20" s="2">
        <f t="shared" si="13"/>
        <v>40000</v>
      </c>
      <c r="K20" s="2">
        <f t="shared" si="13"/>
        <v>40000</v>
      </c>
      <c r="L20" s="2">
        <f t="shared" si="13"/>
        <v>40000</v>
      </c>
      <c r="M20" s="2">
        <f t="shared" si="13"/>
        <v>40000</v>
      </c>
      <c r="N20" s="2">
        <f t="shared" si="13"/>
        <v>40000</v>
      </c>
      <c r="O20" s="2">
        <f t="shared" si="13"/>
        <v>40000</v>
      </c>
      <c r="P20" s="2">
        <f t="shared" si="13"/>
        <v>40000</v>
      </c>
      <c r="Q20" s="2">
        <f t="shared" si="13"/>
        <v>40000</v>
      </c>
      <c r="R20" s="2">
        <f t="shared" si="12"/>
        <v>40000</v>
      </c>
      <c r="S20" s="2">
        <f t="shared" si="12"/>
        <v>40000</v>
      </c>
      <c r="T20" s="2">
        <f t="shared" si="12"/>
        <v>40000</v>
      </c>
      <c r="U20" s="2">
        <f t="shared" si="12"/>
        <v>40000</v>
      </c>
      <c r="V20" s="2">
        <f t="shared" si="12"/>
        <v>40000</v>
      </c>
      <c r="W20" s="2">
        <f t="shared" si="12"/>
        <v>40000</v>
      </c>
      <c r="X20" s="2">
        <f t="shared" si="12"/>
        <v>40000</v>
      </c>
      <c r="Y20" s="2">
        <f t="shared" si="12"/>
        <v>40000</v>
      </c>
    </row>
    <row r="21" spans="1:25">
      <c r="A21" s="3">
        <v>20</v>
      </c>
      <c r="B21" s="2">
        <f t="shared" si="13"/>
        <v>40000</v>
      </c>
      <c r="C21" s="2">
        <f>0.04*1000000*1.3</f>
        <v>52000</v>
      </c>
      <c r="D21" s="2">
        <f>0.04*1000000*0.55</f>
        <v>22000</v>
      </c>
      <c r="E21" s="2">
        <f t="shared" si="12"/>
        <v>40000</v>
      </c>
      <c r="F21" s="2">
        <f t="shared" si="12"/>
        <v>40000</v>
      </c>
      <c r="G21" s="2">
        <f t="shared" si="12"/>
        <v>40000</v>
      </c>
      <c r="H21" s="2">
        <f t="shared" si="12"/>
        <v>40000</v>
      </c>
      <c r="I21" s="2">
        <f t="shared" si="12"/>
        <v>40000</v>
      </c>
      <c r="J21" s="2">
        <f t="shared" si="12"/>
        <v>40000</v>
      </c>
      <c r="K21" s="2">
        <f t="shared" si="12"/>
        <v>40000</v>
      </c>
      <c r="L21" s="2">
        <f t="shared" si="12"/>
        <v>40000</v>
      </c>
      <c r="M21" s="2">
        <f t="shared" si="12"/>
        <v>40000</v>
      </c>
      <c r="N21" s="2">
        <f t="shared" si="12"/>
        <v>40000</v>
      </c>
      <c r="O21" s="2">
        <f t="shared" si="12"/>
        <v>40000</v>
      </c>
      <c r="P21" s="2">
        <f t="shared" si="12"/>
        <v>40000</v>
      </c>
      <c r="Q21" s="2">
        <f t="shared" si="12"/>
        <v>40000</v>
      </c>
      <c r="R21" s="2">
        <f t="shared" si="12"/>
        <v>40000</v>
      </c>
      <c r="S21" s="2">
        <f t="shared" si="12"/>
        <v>40000</v>
      </c>
      <c r="T21" s="2">
        <f t="shared" si="12"/>
        <v>40000</v>
      </c>
      <c r="U21" s="2">
        <f t="shared" si="12"/>
        <v>40000</v>
      </c>
      <c r="V21" s="2">
        <f t="shared" si="12"/>
        <v>40000</v>
      </c>
      <c r="W21" s="2">
        <f t="shared" si="12"/>
        <v>40000</v>
      </c>
      <c r="X21" s="2">
        <f t="shared" si="12"/>
        <v>40000</v>
      </c>
      <c r="Y21" s="2">
        <f t="shared" si="12"/>
        <v>40000</v>
      </c>
    </row>
    <row r="22" spans="1:25">
      <c r="A22" s="3">
        <v>21</v>
      </c>
      <c r="B22" s="2">
        <f t="shared" si="13"/>
        <v>40000</v>
      </c>
      <c r="C22" s="2">
        <f>0.04*1000000*1.3</f>
        <v>52000</v>
      </c>
      <c r="D22" s="2">
        <f>0.04*1000000*0.55</f>
        <v>22000</v>
      </c>
      <c r="E22" s="2">
        <f t="shared" si="12"/>
        <v>40000</v>
      </c>
      <c r="F22" s="2">
        <f t="shared" si="12"/>
        <v>40000</v>
      </c>
      <c r="G22" s="2">
        <f t="shared" si="12"/>
        <v>40000</v>
      </c>
      <c r="H22" s="2">
        <f t="shared" si="12"/>
        <v>40000</v>
      </c>
      <c r="I22" s="2">
        <f t="shared" si="12"/>
        <v>40000</v>
      </c>
      <c r="J22" s="2">
        <f t="shared" si="12"/>
        <v>40000</v>
      </c>
      <c r="K22" s="2">
        <f t="shared" si="12"/>
        <v>40000</v>
      </c>
      <c r="L22" s="2">
        <f t="shared" si="12"/>
        <v>40000</v>
      </c>
      <c r="M22" s="2">
        <f t="shared" si="12"/>
        <v>40000</v>
      </c>
      <c r="N22" s="2">
        <f t="shared" si="12"/>
        <v>40000</v>
      </c>
      <c r="O22" s="2">
        <f t="shared" si="12"/>
        <v>40000</v>
      </c>
      <c r="P22" s="2">
        <f t="shared" si="12"/>
        <v>40000</v>
      </c>
      <c r="Q22" s="2">
        <f t="shared" si="12"/>
        <v>40000</v>
      </c>
      <c r="R22" s="2">
        <f t="shared" si="12"/>
        <v>40000</v>
      </c>
      <c r="S22" s="2">
        <f t="shared" si="12"/>
        <v>40000</v>
      </c>
      <c r="T22" s="2">
        <f t="shared" si="12"/>
        <v>40000</v>
      </c>
      <c r="U22" s="2">
        <f t="shared" si="12"/>
        <v>40000</v>
      </c>
      <c r="V22" s="2">
        <f t="shared" si="12"/>
        <v>40000</v>
      </c>
      <c r="W22" s="2">
        <f t="shared" si="12"/>
        <v>40000</v>
      </c>
      <c r="X22" s="2">
        <f t="shared" si="12"/>
        <v>40000</v>
      </c>
      <c r="Y22" s="2">
        <f t="shared" si="12"/>
        <v>40000</v>
      </c>
    </row>
    <row r="23" spans="1:25">
      <c r="A23" s="3">
        <v>22</v>
      </c>
      <c r="B23" s="2">
        <f t="shared" si="13"/>
        <v>40000</v>
      </c>
      <c r="C23" s="2">
        <f>0.04*1000000*1.3</f>
        <v>52000</v>
      </c>
      <c r="D23" s="2">
        <f>0.04*1000000*0.55</f>
        <v>22000</v>
      </c>
      <c r="E23" s="2">
        <f t="shared" si="12"/>
        <v>40000</v>
      </c>
      <c r="F23" s="2">
        <f t="shared" si="12"/>
        <v>40000</v>
      </c>
      <c r="G23" s="2">
        <f t="shared" si="12"/>
        <v>40000</v>
      </c>
      <c r="H23" s="2">
        <f t="shared" si="12"/>
        <v>40000</v>
      </c>
      <c r="I23" s="2">
        <f t="shared" si="12"/>
        <v>40000</v>
      </c>
      <c r="J23" s="2">
        <f t="shared" si="12"/>
        <v>40000</v>
      </c>
      <c r="K23" s="2">
        <f t="shared" si="12"/>
        <v>40000</v>
      </c>
      <c r="L23" s="2">
        <f t="shared" si="12"/>
        <v>40000</v>
      </c>
      <c r="M23" s="2">
        <f t="shared" si="12"/>
        <v>40000</v>
      </c>
      <c r="N23" s="2">
        <f t="shared" si="12"/>
        <v>40000</v>
      </c>
      <c r="O23" s="2">
        <f t="shared" si="12"/>
        <v>40000</v>
      </c>
      <c r="P23" s="2">
        <f t="shared" si="12"/>
        <v>40000</v>
      </c>
      <c r="Q23" s="2">
        <f t="shared" si="12"/>
        <v>40000</v>
      </c>
      <c r="R23" s="2">
        <f t="shared" si="12"/>
        <v>40000</v>
      </c>
      <c r="S23" s="2">
        <f t="shared" si="12"/>
        <v>40000</v>
      </c>
      <c r="T23" s="2">
        <f t="shared" si="12"/>
        <v>40000</v>
      </c>
      <c r="U23" s="2">
        <f t="shared" si="12"/>
        <v>40000</v>
      </c>
      <c r="V23" s="2">
        <f t="shared" si="12"/>
        <v>40000</v>
      </c>
      <c r="W23" s="2">
        <f t="shared" si="12"/>
        <v>40000</v>
      </c>
      <c r="X23" s="2">
        <f t="shared" si="12"/>
        <v>40000</v>
      </c>
      <c r="Y23" s="2">
        <f t="shared" si="12"/>
        <v>40000</v>
      </c>
    </row>
    <row r="24" spans="1:25">
      <c r="A24" s="3">
        <v>23</v>
      </c>
      <c r="B24" s="2">
        <f>0.05*1000000</f>
        <v>50000</v>
      </c>
      <c r="C24" s="2">
        <f>0.05*1000000*1.3</f>
        <v>65000</v>
      </c>
      <c r="D24" s="2">
        <f>0.05*1000000*0.55</f>
        <v>27500.000000000004</v>
      </c>
      <c r="E24" s="2">
        <f t="shared" ref="E24:Y24" si="14">0.05*1000000</f>
        <v>50000</v>
      </c>
      <c r="F24" s="2">
        <f t="shared" si="14"/>
        <v>50000</v>
      </c>
      <c r="G24" s="2">
        <f t="shared" si="14"/>
        <v>50000</v>
      </c>
      <c r="H24" s="2">
        <f t="shared" si="14"/>
        <v>50000</v>
      </c>
      <c r="I24" s="2">
        <f t="shared" si="14"/>
        <v>50000</v>
      </c>
      <c r="J24" s="2">
        <f t="shared" si="14"/>
        <v>50000</v>
      </c>
      <c r="K24" s="2">
        <f t="shared" si="14"/>
        <v>50000</v>
      </c>
      <c r="L24" s="2">
        <f t="shared" si="14"/>
        <v>50000</v>
      </c>
      <c r="M24" s="2">
        <f t="shared" si="14"/>
        <v>50000</v>
      </c>
      <c r="N24" s="2">
        <f t="shared" si="14"/>
        <v>50000</v>
      </c>
      <c r="O24" s="2">
        <f t="shared" si="14"/>
        <v>50000</v>
      </c>
      <c r="P24" s="2">
        <f t="shared" si="14"/>
        <v>50000</v>
      </c>
      <c r="Q24" s="2">
        <f t="shared" si="14"/>
        <v>50000</v>
      </c>
      <c r="R24" s="2">
        <f t="shared" si="14"/>
        <v>50000</v>
      </c>
      <c r="S24" s="2">
        <f t="shared" si="14"/>
        <v>50000</v>
      </c>
      <c r="T24" s="2">
        <f t="shared" si="14"/>
        <v>50000</v>
      </c>
      <c r="U24" s="2">
        <f t="shared" si="14"/>
        <v>50000</v>
      </c>
      <c r="V24" s="2">
        <f t="shared" si="14"/>
        <v>50000</v>
      </c>
      <c r="W24" s="2">
        <f t="shared" si="14"/>
        <v>50000</v>
      </c>
      <c r="X24" s="2">
        <f t="shared" si="14"/>
        <v>50000</v>
      </c>
      <c r="Y24" s="2">
        <f t="shared" si="14"/>
        <v>50000</v>
      </c>
    </row>
    <row r="25" spans="1:25">
      <c r="A25" s="3">
        <v>24</v>
      </c>
      <c r="B25" s="2">
        <f>0.2*1000000</f>
        <v>200000</v>
      </c>
      <c r="C25" s="2">
        <f>0.2*1000000*1.3</f>
        <v>260000</v>
      </c>
      <c r="D25" s="2">
        <f>0.2*1000000*0.55</f>
        <v>110000.00000000001</v>
      </c>
      <c r="E25" s="2">
        <f t="shared" ref="E25:Y26" si="15">0.2*1000000</f>
        <v>200000</v>
      </c>
      <c r="F25" s="2">
        <f t="shared" si="15"/>
        <v>200000</v>
      </c>
      <c r="G25" s="2">
        <f t="shared" si="15"/>
        <v>200000</v>
      </c>
      <c r="H25" s="2">
        <f t="shared" si="15"/>
        <v>200000</v>
      </c>
      <c r="I25" s="2">
        <f t="shared" si="15"/>
        <v>200000</v>
      </c>
      <c r="J25" s="2">
        <f t="shared" si="15"/>
        <v>200000</v>
      </c>
      <c r="K25" s="2">
        <f t="shared" si="15"/>
        <v>200000</v>
      </c>
      <c r="L25" s="2">
        <f t="shared" si="15"/>
        <v>200000</v>
      </c>
      <c r="M25" s="2">
        <f t="shared" si="15"/>
        <v>200000</v>
      </c>
      <c r="N25" s="2">
        <f t="shared" si="15"/>
        <v>200000</v>
      </c>
      <c r="O25" s="2">
        <f t="shared" si="15"/>
        <v>200000</v>
      </c>
      <c r="P25" s="2">
        <f t="shared" si="15"/>
        <v>200000</v>
      </c>
      <c r="Q25" s="2">
        <f t="shared" si="15"/>
        <v>200000</v>
      </c>
      <c r="R25" s="2">
        <f t="shared" si="15"/>
        <v>200000</v>
      </c>
      <c r="S25" s="2">
        <f t="shared" si="15"/>
        <v>200000</v>
      </c>
      <c r="T25" s="2">
        <f t="shared" si="15"/>
        <v>200000</v>
      </c>
      <c r="U25" s="2">
        <f t="shared" si="15"/>
        <v>200000</v>
      </c>
      <c r="V25" s="2">
        <f t="shared" si="15"/>
        <v>200000</v>
      </c>
      <c r="W25" s="2">
        <f t="shared" si="15"/>
        <v>200000</v>
      </c>
      <c r="X25" s="2">
        <f t="shared" si="15"/>
        <v>200000</v>
      </c>
      <c r="Y25" s="2">
        <f t="shared" si="15"/>
        <v>200000</v>
      </c>
    </row>
    <row r="26" spans="1:25">
      <c r="A26" s="3">
        <v>25</v>
      </c>
      <c r="B26" s="2">
        <f>0.2*1000000</f>
        <v>200000</v>
      </c>
      <c r="C26" s="2">
        <f>0.2*1000000*1.3</f>
        <v>260000</v>
      </c>
      <c r="D26" s="2">
        <f>0.2*1000000*0.55</f>
        <v>110000.00000000001</v>
      </c>
      <c r="E26" s="2">
        <f t="shared" si="15"/>
        <v>200000</v>
      </c>
      <c r="F26" s="2">
        <f t="shared" si="15"/>
        <v>200000</v>
      </c>
      <c r="G26" s="2">
        <f t="shared" si="15"/>
        <v>200000</v>
      </c>
      <c r="H26" s="2">
        <f t="shared" si="15"/>
        <v>200000</v>
      </c>
      <c r="I26" s="2">
        <f t="shared" si="15"/>
        <v>200000</v>
      </c>
      <c r="J26" s="2">
        <f t="shared" si="15"/>
        <v>200000</v>
      </c>
      <c r="K26" s="2">
        <f t="shared" si="15"/>
        <v>200000</v>
      </c>
      <c r="L26" s="2">
        <f t="shared" si="15"/>
        <v>200000</v>
      </c>
      <c r="M26" s="2">
        <f t="shared" si="15"/>
        <v>200000</v>
      </c>
      <c r="N26" s="2">
        <f t="shared" si="15"/>
        <v>200000</v>
      </c>
      <c r="O26" s="2">
        <f t="shared" si="15"/>
        <v>200000</v>
      </c>
      <c r="P26" s="2">
        <f t="shared" si="15"/>
        <v>200000</v>
      </c>
      <c r="Q26" s="2">
        <f t="shared" si="15"/>
        <v>200000</v>
      </c>
      <c r="R26" s="2">
        <f t="shared" si="15"/>
        <v>200000</v>
      </c>
      <c r="S26" s="2">
        <f t="shared" si="15"/>
        <v>200000</v>
      </c>
      <c r="T26" s="2">
        <f t="shared" si="15"/>
        <v>200000</v>
      </c>
      <c r="U26" s="2">
        <f t="shared" si="15"/>
        <v>200000</v>
      </c>
      <c r="V26" s="2">
        <f t="shared" si="15"/>
        <v>200000</v>
      </c>
      <c r="W26" s="2">
        <f t="shared" si="15"/>
        <v>200000</v>
      </c>
      <c r="X26" s="2">
        <f t="shared" si="15"/>
        <v>200000</v>
      </c>
      <c r="Y26" s="2">
        <f t="shared" si="15"/>
        <v>200000</v>
      </c>
    </row>
    <row r="27" spans="1:25">
      <c r="A27" s="3">
        <v>26</v>
      </c>
      <c r="B27" s="2">
        <f>0.025*1000000</f>
        <v>25000</v>
      </c>
      <c r="C27" s="2">
        <f>0.025*1000000*1.3</f>
        <v>32500</v>
      </c>
      <c r="D27" s="2">
        <f>0.025*1000000*0.55</f>
        <v>13750.000000000002</v>
      </c>
      <c r="E27" s="2">
        <f t="shared" ref="E27:Y28" si="16">0.025*1000000</f>
        <v>25000</v>
      </c>
      <c r="F27" s="2">
        <f t="shared" si="16"/>
        <v>25000</v>
      </c>
      <c r="G27" s="2">
        <f t="shared" si="16"/>
        <v>25000</v>
      </c>
      <c r="H27" s="2">
        <f t="shared" si="16"/>
        <v>25000</v>
      </c>
      <c r="I27" s="2">
        <f t="shared" si="16"/>
        <v>25000</v>
      </c>
      <c r="J27" s="2">
        <f t="shared" si="16"/>
        <v>25000</v>
      </c>
      <c r="K27" s="2">
        <f t="shared" si="16"/>
        <v>25000</v>
      </c>
      <c r="L27" s="2">
        <f t="shared" si="16"/>
        <v>25000</v>
      </c>
      <c r="M27" s="2">
        <f t="shared" si="16"/>
        <v>25000</v>
      </c>
      <c r="N27" s="2">
        <f t="shared" si="16"/>
        <v>25000</v>
      </c>
      <c r="O27" s="2">
        <f t="shared" si="16"/>
        <v>25000</v>
      </c>
      <c r="P27" s="2">
        <f t="shared" si="16"/>
        <v>25000</v>
      </c>
      <c r="Q27" s="2">
        <f t="shared" si="16"/>
        <v>25000</v>
      </c>
      <c r="R27" s="2">
        <f t="shared" si="16"/>
        <v>25000</v>
      </c>
      <c r="S27" s="2">
        <f t="shared" si="16"/>
        <v>25000</v>
      </c>
      <c r="T27" s="2">
        <f t="shared" si="16"/>
        <v>25000</v>
      </c>
      <c r="U27" s="2">
        <f t="shared" si="16"/>
        <v>25000</v>
      </c>
      <c r="V27" s="2">
        <f t="shared" si="16"/>
        <v>25000</v>
      </c>
      <c r="W27" s="2">
        <f t="shared" si="16"/>
        <v>25000</v>
      </c>
      <c r="X27" s="2">
        <f t="shared" si="16"/>
        <v>25000</v>
      </c>
      <c r="Y27" s="2">
        <f t="shared" si="16"/>
        <v>25000</v>
      </c>
    </row>
    <row r="28" spans="1:25">
      <c r="A28" s="3">
        <v>27</v>
      </c>
      <c r="B28" s="2">
        <f>0.025*1000000</f>
        <v>25000</v>
      </c>
      <c r="C28" s="2">
        <f>0.025*1000000*1.3</f>
        <v>32500</v>
      </c>
      <c r="D28" s="2">
        <f>0.025*1000000*0.55</f>
        <v>13750.000000000002</v>
      </c>
      <c r="E28" s="2">
        <f t="shared" si="16"/>
        <v>25000</v>
      </c>
      <c r="F28" s="2">
        <f t="shared" si="16"/>
        <v>25000</v>
      </c>
      <c r="G28" s="2">
        <f t="shared" si="16"/>
        <v>25000</v>
      </c>
      <c r="H28" s="2">
        <f t="shared" si="16"/>
        <v>25000</v>
      </c>
      <c r="I28" s="2">
        <f t="shared" si="16"/>
        <v>25000</v>
      </c>
      <c r="J28" s="2">
        <f t="shared" si="16"/>
        <v>25000</v>
      </c>
      <c r="K28" s="2">
        <f t="shared" si="16"/>
        <v>25000</v>
      </c>
      <c r="L28" s="2">
        <f t="shared" si="16"/>
        <v>25000</v>
      </c>
      <c r="M28" s="2">
        <f t="shared" si="16"/>
        <v>25000</v>
      </c>
      <c r="N28" s="2">
        <f t="shared" si="16"/>
        <v>25000</v>
      </c>
      <c r="O28" s="2">
        <f t="shared" si="16"/>
        <v>25000</v>
      </c>
      <c r="P28" s="2">
        <f t="shared" si="16"/>
        <v>25000</v>
      </c>
      <c r="Q28" s="2">
        <f t="shared" si="16"/>
        <v>25000</v>
      </c>
      <c r="R28" s="2">
        <f t="shared" si="16"/>
        <v>25000</v>
      </c>
      <c r="S28" s="2">
        <f t="shared" si="16"/>
        <v>25000</v>
      </c>
      <c r="T28" s="2">
        <f t="shared" si="16"/>
        <v>25000</v>
      </c>
      <c r="U28" s="2">
        <f t="shared" si="16"/>
        <v>25000</v>
      </c>
      <c r="V28" s="2">
        <f t="shared" si="16"/>
        <v>25000</v>
      </c>
      <c r="W28" s="2">
        <f t="shared" si="16"/>
        <v>25000</v>
      </c>
      <c r="X28" s="2">
        <f t="shared" si="16"/>
        <v>25000</v>
      </c>
      <c r="Y28" s="2">
        <f t="shared" si="16"/>
        <v>25000</v>
      </c>
    </row>
    <row r="29" spans="1:25">
      <c r="A29" s="3">
        <v>28</v>
      </c>
      <c r="B29" s="2">
        <f>0.02*1000000</f>
        <v>20000</v>
      </c>
      <c r="C29" s="2">
        <f>0.02*1000000*1.3</f>
        <v>26000</v>
      </c>
      <c r="D29" s="2">
        <f>0.02*1000000*0.55</f>
        <v>11000</v>
      </c>
      <c r="E29" s="2">
        <f t="shared" ref="E29:Y29" si="17">0.02*1000000</f>
        <v>20000</v>
      </c>
      <c r="F29" s="2">
        <f t="shared" si="17"/>
        <v>20000</v>
      </c>
      <c r="G29" s="2">
        <f t="shared" si="17"/>
        <v>20000</v>
      </c>
      <c r="H29" s="2">
        <f t="shared" si="17"/>
        <v>20000</v>
      </c>
      <c r="I29" s="2">
        <f t="shared" si="17"/>
        <v>20000</v>
      </c>
      <c r="J29" s="2">
        <f t="shared" si="17"/>
        <v>20000</v>
      </c>
      <c r="K29" s="2">
        <f t="shared" si="17"/>
        <v>20000</v>
      </c>
      <c r="L29" s="2">
        <f t="shared" si="17"/>
        <v>20000</v>
      </c>
      <c r="M29" s="2">
        <f t="shared" si="17"/>
        <v>20000</v>
      </c>
      <c r="N29" s="2">
        <f t="shared" si="17"/>
        <v>20000</v>
      </c>
      <c r="O29" s="2">
        <f t="shared" si="17"/>
        <v>20000</v>
      </c>
      <c r="P29" s="2">
        <f t="shared" si="17"/>
        <v>20000</v>
      </c>
      <c r="Q29" s="2">
        <f t="shared" si="17"/>
        <v>20000</v>
      </c>
      <c r="R29" s="2">
        <f t="shared" si="17"/>
        <v>20000</v>
      </c>
      <c r="S29" s="2">
        <f t="shared" si="17"/>
        <v>20000</v>
      </c>
      <c r="T29" s="2">
        <f t="shared" si="17"/>
        <v>20000</v>
      </c>
      <c r="U29" s="2">
        <f t="shared" si="17"/>
        <v>20000</v>
      </c>
      <c r="V29" s="2">
        <f t="shared" si="17"/>
        <v>20000</v>
      </c>
      <c r="W29" s="2">
        <f t="shared" si="17"/>
        <v>20000</v>
      </c>
      <c r="X29" s="2">
        <f t="shared" si="17"/>
        <v>20000</v>
      </c>
      <c r="Y29" s="2">
        <f t="shared" si="17"/>
        <v>20000</v>
      </c>
    </row>
    <row r="30" spans="1:25">
      <c r="A30" s="3">
        <v>29</v>
      </c>
      <c r="B30" s="2">
        <f>0.07*1000000</f>
        <v>70000</v>
      </c>
      <c r="C30" s="2">
        <f>0.07*1000000*1.3</f>
        <v>91000</v>
      </c>
      <c r="D30" s="2">
        <f>0.07*1000000*0.55</f>
        <v>38500</v>
      </c>
      <c r="E30" s="2">
        <f t="shared" ref="E30:Y30" si="18">0.07*1000000</f>
        <v>70000</v>
      </c>
      <c r="F30" s="2">
        <f t="shared" si="18"/>
        <v>70000</v>
      </c>
      <c r="G30" s="2">
        <f t="shared" si="18"/>
        <v>70000</v>
      </c>
      <c r="H30" s="2">
        <f t="shared" si="18"/>
        <v>70000</v>
      </c>
      <c r="I30" s="2">
        <f t="shared" si="18"/>
        <v>70000</v>
      </c>
      <c r="J30" s="2">
        <f t="shared" si="18"/>
        <v>70000</v>
      </c>
      <c r="K30" s="2">
        <f t="shared" si="18"/>
        <v>70000</v>
      </c>
      <c r="L30" s="2">
        <f t="shared" si="18"/>
        <v>70000</v>
      </c>
      <c r="M30" s="2">
        <f t="shared" si="18"/>
        <v>70000</v>
      </c>
      <c r="N30" s="2">
        <f t="shared" si="18"/>
        <v>70000</v>
      </c>
      <c r="O30" s="2">
        <f t="shared" si="18"/>
        <v>70000</v>
      </c>
      <c r="P30" s="2">
        <f t="shared" si="18"/>
        <v>70000</v>
      </c>
      <c r="Q30" s="2">
        <f t="shared" si="18"/>
        <v>70000</v>
      </c>
      <c r="R30" s="2">
        <f t="shared" si="18"/>
        <v>70000</v>
      </c>
      <c r="S30" s="2">
        <f t="shared" si="18"/>
        <v>70000</v>
      </c>
      <c r="T30" s="2">
        <f t="shared" si="18"/>
        <v>70000</v>
      </c>
      <c r="U30" s="2">
        <f t="shared" si="18"/>
        <v>70000</v>
      </c>
      <c r="V30" s="2">
        <f t="shared" si="18"/>
        <v>70000</v>
      </c>
      <c r="W30" s="2">
        <f t="shared" si="18"/>
        <v>70000</v>
      </c>
      <c r="X30" s="2">
        <f t="shared" si="18"/>
        <v>70000</v>
      </c>
      <c r="Y30" s="2">
        <f t="shared" si="18"/>
        <v>70000</v>
      </c>
    </row>
    <row r="31" spans="1:25">
      <c r="A31" s="3">
        <v>30</v>
      </c>
      <c r="B31" s="2">
        <f>0.6*1000000</f>
        <v>600000</v>
      </c>
      <c r="C31" s="2">
        <f>0.6*1000000*1.3</f>
        <v>780000</v>
      </c>
      <c r="D31" s="2">
        <f>0.6*1000000*0.55</f>
        <v>330000</v>
      </c>
      <c r="E31" s="2">
        <f t="shared" ref="E31:Y31" si="19">0.6*1000000</f>
        <v>600000</v>
      </c>
      <c r="F31" s="2">
        <f t="shared" si="19"/>
        <v>600000</v>
      </c>
      <c r="G31" s="2">
        <f t="shared" si="19"/>
        <v>600000</v>
      </c>
      <c r="H31" s="2">
        <f t="shared" si="19"/>
        <v>600000</v>
      </c>
      <c r="I31" s="2">
        <f t="shared" si="19"/>
        <v>600000</v>
      </c>
      <c r="J31" s="2">
        <f t="shared" si="19"/>
        <v>600000</v>
      </c>
      <c r="K31" s="2">
        <f t="shared" si="19"/>
        <v>600000</v>
      </c>
      <c r="L31" s="2">
        <f t="shared" si="19"/>
        <v>600000</v>
      </c>
      <c r="M31" s="2">
        <f t="shared" si="19"/>
        <v>600000</v>
      </c>
      <c r="N31" s="2">
        <f t="shared" si="19"/>
        <v>600000</v>
      </c>
      <c r="O31" s="2">
        <f t="shared" si="19"/>
        <v>600000</v>
      </c>
      <c r="P31" s="2">
        <f t="shared" si="19"/>
        <v>600000</v>
      </c>
      <c r="Q31" s="2">
        <f t="shared" si="19"/>
        <v>600000</v>
      </c>
      <c r="R31" s="2">
        <f t="shared" si="19"/>
        <v>600000</v>
      </c>
      <c r="S31" s="2">
        <f t="shared" si="19"/>
        <v>600000</v>
      </c>
      <c r="T31" s="2">
        <f t="shared" si="19"/>
        <v>600000</v>
      </c>
      <c r="U31" s="2">
        <f t="shared" si="19"/>
        <v>600000</v>
      </c>
      <c r="V31" s="2">
        <f t="shared" si="19"/>
        <v>600000</v>
      </c>
      <c r="W31" s="2">
        <f t="shared" si="19"/>
        <v>600000</v>
      </c>
      <c r="X31" s="2">
        <f t="shared" si="19"/>
        <v>600000</v>
      </c>
      <c r="Y31" s="2">
        <f t="shared" si="19"/>
        <v>600000</v>
      </c>
    </row>
    <row r="32" spans="1:25">
      <c r="A32" s="3">
        <v>31</v>
      </c>
      <c r="B32" s="2">
        <f>0.07*1000000</f>
        <v>70000</v>
      </c>
      <c r="C32" s="2">
        <f>0.07*1000000*1.3</f>
        <v>91000</v>
      </c>
      <c r="D32" s="2">
        <f>0.07*1000000*0.55</f>
        <v>38500</v>
      </c>
      <c r="E32" s="2">
        <f t="shared" ref="E32:Y32" si="20">0.07*1000000</f>
        <v>70000</v>
      </c>
      <c r="F32" s="2">
        <f t="shared" si="20"/>
        <v>70000</v>
      </c>
      <c r="G32" s="2">
        <f t="shared" si="20"/>
        <v>70000</v>
      </c>
      <c r="H32" s="2">
        <f t="shared" si="20"/>
        <v>70000</v>
      </c>
      <c r="I32" s="2">
        <f t="shared" si="20"/>
        <v>70000</v>
      </c>
      <c r="J32" s="2">
        <f t="shared" si="20"/>
        <v>70000</v>
      </c>
      <c r="K32" s="2">
        <f t="shared" si="20"/>
        <v>70000</v>
      </c>
      <c r="L32" s="2">
        <f t="shared" si="20"/>
        <v>70000</v>
      </c>
      <c r="M32" s="2">
        <f t="shared" si="20"/>
        <v>70000</v>
      </c>
      <c r="N32" s="2">
        <f t="shared" si="20"/>
        <v>70000</v>
      </c>
      <c r="O32" s="2">
        <f t="shared" si="20"/>
        <v>70000</v>
      </c>
      <c r="P32" s="2">
        <f t="shared" si="20"/>
        <v>70000</v>
      </c>
      <c r="Q32" s="2">
        <f t="shared" si="20"/>
        <v>70000</v>
      </c>
      <c r="R32" s="2">
        <f t="shared" si="20"/>
        <v>70000</v>
      </c>
      <c r="S32" s="2">
        <f t="shared" si="20"/>
        <v>70000</v>
      </c>
      <c r="T32" s="2">
        <f t="shared" si="20"/>
        <v>70000</v>
      </c>
      <c r="U32" s="2">
        <f t="shared" si="20"/>
        <v>70000</v>
      </c>
      <c r="V32" s="2">
        <f t="shared" si="20"/>
        <v>70000</v>
      </c>
      <c r="W32" s="2">
        <f t="shared" si="20"/>
        <v>70000</v>
      </c>
      <c r="X32" s="2">
        <f t="shared" si="20"/>
        <v>70000</v>
      </c>
      <c r="Y32" s="2">
        <f t="shared" si="20"/>
        <v>70000</v>
      </c>
    </row>
    <row r="33" spans="1:25">
      <c r="A33" s="3">
        <v>32</v>
      </c>
      <c r="B33" s="2">
        <f>0.1*1000000</f>
        <v>100000</v>
      </c>
      <c r="C33" s="2">
        <f>0.1*1000000*1.3</f>
        <v>130000</v>
      </c>
      <c r="D33" s="2">
        <f>0.1*1000000*0.55</f>
        <v>55000.000000000007</v>
      </c>
      <c r="E33" s="2">
        <f t="shared" ref="E33:Y33" si="21">0.1*1000000</f>
        <v>100000</v>
      </c>
      <c r="F33" s="2">
        <f t="shared" si="21"/>
        <v>100000</v>
      </c>
      <c r="G33" s="2">
        <f t="shared" si="21"/>
        <v>100000</v>
      </c>
      <c r="H33" s="2">
        <f t="shared" si="21"/>
        <v>100000</v>
      </c>
      <c r="I33" s="2">
        <f t="shared" si="21"/>
        <v>100000</v>
      </c>
      <c r="J33" s="2">
        <f t="shared" si="21"/>
        <v>100000</v>
      </c>
      <c r="K33" s="2">
        <f t="shared" si="21"/>
        <v>100000</v>
      </c>
      <c r="L33" s="2">
        <f t="shared" si="21"/>
        <v>100000</v>
      </c>
      <c r="M33" s="2">
        <f t="shared" si="21"/>
        <v>100000</v>
      </c>
      <c r="N33" s="2">
        <f t="shared" si="21"/>
        <v>100000</v>
      </c>
      <c r="O33" s="2">
        <f t="shared" si="21"/>
        <v>100000</v>
      </c>
      <c r="P33" s="2">
        <f t="shared" si="21"/>
        <v>100000</v>
      </c>
      <c r="Q33" s="2">
        <f t="shared" si="21"/>
        <v>100000</v>
      </c>
      <c r="R33" s="2">
        <f t="shared" si="21"/>
        <v>100000</v>
      </c>
      <c r="S33" s="2">
        <f t="shared" si="21"/>
        <v>100000</v>
      </c>
      <c r="T33" s="2">
        <f t="shared" si="21"/>
        <v>100000</v>
      </c>
      <c r="U33" s="2">
        <f t="shared" si="21"/>
        <v>100000</v>
      </c>
      <c r="V33" s="2">
        <f t="shared" si="21"/>
        <v>100000</v>
      </c>
      <c r="W33" s="2">
        <f t="shared" si="21"/>
        <v>100000</v>
      </c>
      <c r="X33" s="2">
        <f t="shared" si="21"/>
        <v>100000</v>
      </c>
      <c r="Y33" s="2">
        <f t="shared" si="21"/>
        <v>100000</v>
      </c>
    </row>
    <row r="34" spans="1:25">
      <c r="A34" s="3">
        <v>33</v>
      </c>
      <c r="B34" s="2">
        <f>0.04*1000000</f>
        <v>40000</v>
      </c>
      <c r="C34" s="2">
        <f>0.04*1000000*1.3</f>
        <v>52000</v>
      </c>
      <c r="D34" s="2">
        <f>0.04*1000000*0.55</f>
        <v>22000</v>
      </c>
      <c r="E34" s="2">
        <f t="shared" ref="E34:Y34" si="22">0.04*1000000</f>
        <v>40000</v>
      </c>
      <c r="F34" s="2">
        <f t="shared" si="22"/>
        <v>40000</v>
      </c>
      <c r="G34" s="2">
        <f t="shared" si="22"/>
        <v>40000</v>
      </c>
      <c r="H34" s="2">
        <f t="shared" si="22"/>
        <v>40000</v>
      </c>
      <c r="I34" s="2">
        <f t="shared" si="22"/>
        <v>40000</v>
      </c>
      <c r="J34" s="2">
        <f t="shared" si="22"/>
        <v>40000</v>
      </c>
      <c r="K34" s="2">
        <f t="shared" si="22"/>
        <v>40000</v>
      </c>
      <c r="L34" s="2">
        <f t="shared" si="22"/>
        <v>40000</v>
      </c>
      <c r="M34" s="2">
        <f t="shared" si="22"/>
        <v>40000</v>
      </c>
      <c r="N34" s="2">
        <f t="shared" si="22"/>
        <v>40000</v>
      </c>
      <c r="O34" s="2">
        <f t="shared" si="22"/>
        <v>40000</v>
      </c>
      <c r="P34" s="2">
        <f t="shared" si="22"/>
        <v>40000</v>
      </c>
      <c r="Q34" s="2">
        <f t="shared" si="22"/>
        <v>40000</v>
      </c>
      <c r="R34" s="2">
        <f t="shared" si="22"/>
        <v>40000</v>
      </c>
      <c r="S34" s="2">
        <f t="shared" si="22"/>
        <v>40000</v>
      </c>
      <c r="T34" s="2">
        <f t="shared" si="22"/>
        <v>40000</v>
      </c>
      <c r="U34" s="2">
        <f t="shared" si="22"/>
        <v>40000</v>
      </c>
      <c r="V34" s="2">
        <f t="shared" si="22"/>
        <v>40000</v>
      </c>
      <c r="W34" s="2">
        <f t="shared" si="22"/>
        <v>40000</v>
      </c>
      <c r="X34" s="2">
        <f t="shared" si="22"/>
        <v>40000</v>
      </c>
      <c r="Y34" s="2">
        <f t="shared" si="22"/>
        <v>40000</v>
      </c>
    </row>
    <row r="35" spans="1:25">
      <c r="A35" s="3">
        <v>34</v>
      </c>
      <c r="B35" s="2">
        <v>0</v>
      </c>
      <c r="C35" s="2">
        <v>0</v>
      </c>
      <c r="D35" s="2">
        <v>0</v>
      </c>
      <c r="E35" s="2">
        <v>0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</row>
    <row r="36" spans="1:25">
      <c r="A36" s="3">
        <v>35</v>
      </c>
      <c r="B36" s="2">
        <v>0</v>
      </c>
      <c r="C36" s="2">
        <v>0</v>
      </c>
      <c r="D36" s="2">
        <v>0</v>
      </c>
      <c r="E36" s="2">
        <v>0</v>
      </c>
      <c r="F36" s="2">
        <v>0</v>
      </c>
      <c r="G36" s="2">
        <v>0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</row>
    <row r="37" spans="1:25">
      <c r="A37" s="3">
        <v>36</v>
      </c>
      <c r="B37" s="2">
        <v>0</v>
      </c>
      <c r="C37" s="2">
        <v>0</v>
      </c>
      <c r="D37" s="2">
        <v>0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</row>
    <row r="38" spans="1:25">
      <c r="A38" s="3">
        <v>37</v>
      </c>
      <c r="B38" s="2">
        <v>0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</row>
    <row r="39" spans="1:25">
      <c r="A39" s="3">
        <v>38</v>
      </c>
      <c r="B39" s="2">
        <v>0</v>
      </c>
      <c r="C39" s="2">
        <v>0</v>
      </c>
      <c r="D39" s="2">
        <v>0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281B0-0D74-204D-848C-C2676F12A705}">
  <dimension ref="A1:F34"/>
  <sheetViews>
    <sheetView workbookViewId="0">
      <selection activeCell="B1" sqref="B1:B1048576"/>
    </sheetView>
  </sheetViews>
  <sheetFormatPr baseColWidth="10" defaultColWidth="11.5703125" defaultRowHeight="18"/>
  <cols>
    <col min="2" max="2" width="14.85546875" bestFit="1" customWidth="1"/>
    <col min="5" max="5" width="14.5703125" bestFit="1" customWidth="1"/>
  </cols>
  <sheetData>
    <row r="1" spans="1:6" s="1" customFormat="1" ht="19">
      <c r="A1" s="3" t="s">
        <v>0</v>
      </c>
      <c r="B1" s="3" t="s">
        <v>15</v>
      </c>
      <c r="C1" s="4" t="s">
        <v>26</v>
      </c>
      <c r="D1" s="4" t="s">
        <v>27</v>
      </c>
      <c r="E1" s="3" t="s">
        <v>58</v>
      </c>
      <c r="F1" s="3" t="s">
        <v>59</v>
      </c>
    </row>
    <row r="2" spans="1:6">
      <c r="A2" s="2">
        <v>39</v>
      </c>
      <c r="B2" s="2">
        <v>0</v>
      </c>
      <c r="C2" s="5">
        <v>1</v>
      </c>
      <c r="D2" s="2">
        <v>20670</v>
      </c>
      <c r="E2" s="2">
        <v>0.95</v>
      </c>
      <c r="F2" s="2">
        <v>1.05</v>
      </c>
    </row>
    <row r="3" spans="1:6">
      <c r="A3" s="2">
        <v>40</v>
      </c>
      <c r="B3" s="2">
        <v>0</v>
      </c>
      <c r="C3" s="2">
        <v>1</v>
      </c>
      <c r="D3" s="2">
        <v>20670</v>
      </c>
      <c r="E3" s="2">
        <v>0.95</v>
      </c>
      <c r="F3" s="2">
        <v>1.05</v>
      </c>
    </row>
    <row r="4" spans="1:6">
      <c r="A4" s="2">
        <v>41</v>
      </c>
      <c r="B4" s="2">
        <v>0</v>
      </c>
      <c r="C4" s="5">
        <v>1</v>
      </c>
      <c r="D4" s="2">
        <v>20670</v>
      </c>
      <c r="E4" s="2">
        <v>0.95</v>
      </c>
      <c r="F4" s="2">
        <v>1.05</v>
      </c>
    </row>
    <row r="5" spans="1:6">
      <c r="A5" s="2">
        <v>42</v>
      </c>
      <c r="B5" s="2">
        <v>0</v>
      </c>
      <c r="C5" s="2">
        <v>1</v>
      </c>
      <c r="D5" s="2">
        <v>20670</v>
      </c>
      <c r="E5" s="2">
        <v>0.95</v>
      </c>
      <c r="F5" s="2">
        <v>1.05</v>
      </c>
    </row>
    <row r="6" spans="1:6">
      <c r="A6" s="2">
        <v>43</v>
      </c>
      <c r="B6" s="2">
        <v>0</v>
      </c>
      <c r="C6" s="2">
        <v>1</v>
      </c>
      <c r="D6" s="2">
        <v>20670</v>
      </c>
      <c r="E6" s="2">
        <v>0.95</v>
      </c>
      <c r="F6" s="2">
        <v>1.05</v>
      </c>
    </row>
    <row r="7" spans="1:6">
      <c r="A7" s="2">
        <v>44</v>
      </c>
      <c r="B7" s="2">
        <v>0</v>
      </c>
      <c r="C7" s="2">
        <v>1</v>
      </c>
      <c r="D7" s="2">
        <v>20670</v>
      </c>
      <c r="E7" s="2">
        <v>0.95</v>
      </c>
      <c r="F7" s="2">
        <v>1.05</v>
      </c>
    </row>
    <row r="8" spans="1:6">
      <c r="A8" s="2">
        <v>45</v>
      </c>
      <c r="B8" s="2">
        <v>0</v>
      </c>
      <c r="C8" s="2">
        <v>1</v>
      </c>
      <c r="D8" s="2">
        <v>20670</v>
      </c>
      <c r="E8" s="2">
        <v>0.95</v>
      </c>
      <c r="F8" s="2">
        <v>1.05</v>
      </c>
    </row>
    <row r="9" spans="1:6">
      <c r="A9" s="2">
        <v>46</v>
      </c>
      <c r="B9" s="2">
        <v>0</v>
      </c>
      <c r="C9" s="2">
        <v>1</v>
      </c>
      <c r="D9" s="2">
        <v>20670</v>
      </c>
      <c r="E9" s="2">
        <v>0.95</v>
      </c>
      <c r="F9" s="2">
        <v>1.05</v>
      </c>
    </row>
    <row r="10" spans="1:6">
      <c r="A10" s="2">
        <v>47</v>
      </c>
      <c r="B10" s="2">
        <v>0</v>
      </c>
      <c r="C10" s="2">
        <v>1</v>
      </c>
      <c r="D10" s="2">
        <v>20670</v>
      </c>
      <c r="E10" s="2">
        <v>0.95</v>
      </c>
      <c r="F10" s="2">
        <v>1.05</v>
      </c>
    </row>
    <row r="11" spans="1:6">
      <c r="A11" s="2">
        <v>48</v>
      </c>
      <c r="B11" s="2">
        <v>0</v>
      </c>
      <c r="C11" s="2">
        <v>1</v>
      </c>
      <c r="D11" s="2">
        <v>20670</v>
      </c>
      <c r="E11" s="2">
        <v>0.95</v>
      </c>
      <c r="F11" s="2">
        <v>1.05</v>
      </c>
    </row>
    <row r="12" spans="1:6">
      <c r="A12" s="2">
        <v>49</v>
      </c>
      <c r="B12" s="2">
        <v>0</v>
      </c>
      <c r="C12" s="2">
        <v>1</v>
      </c>
      <c r="D12" s="2">
        <v>20670</v>
      </c>
      <c r="E12" s="2">
        <v>0.95</v>
      </c>
      <c r="F12" s="2">
        <v>1.05</v>
      </c>
    </row>
    <row r="13" spans="1:6">
      <c r="A13" s="2">
        <v>50</v>
      </c>
      <c r="B13" s="2">
        <v>0</v>
      </c>
      <c r="C13" s="2">
        <v>1</v>
      </c>
      <c r="D13" s="2">
        <v>20670</v>
      </c>
      <c r="E13" s="2">
        <v>0.95</v>
      </c>
      <c r="F13" s="2">
        <v>1.05</v>
      </c>
    </row>
    <row r="14" spans="1:6">
      <c r="A14" s="2">
        <v>51</v>
      </c>
      <c r="B14" s="2">
        <v>0</v>
      </c>
      <c r="C14" s="2">
        <v>1</v>
      </c>
      <c r="D14" s="2">
        <v>20670</v>
      </c>
      <c r="E14" s="2">
        <v>0.95</v>
      </c>
      <c r="F14" s="2">
        <v>1.05</v>
      </c>
    </row>
    <row r="15" spans="1:6">
      <c r="A15" s="2">
        <v>52</v>
      </c>
      <c r="B15" s="2">
        <v>0</v>
      </c>
      <c r="C15" s="2">
        <v>1</v>
      </c>
      <c r="D15" s="2">
        <v>20670</v>
      </c>
      <c r="E15" s="2">
        <v>0.95</v>
      </c>
      <c r="F15" s="2">
        <v>1.05</v>
      </c>
    </row>
    <row r="16" spans="1:6">
      <c r="A16" s="2">
        <v>53</v>
      </c>
      <c r="B16" s="2">
        <v>0</v>
      </c>
      <c r="C16" s="2">
        <v>1</v>
      </c>
      <c r="D16" s="2">
        <v>20670</v>
      </c>
      <c r="E16" s="2">
        <v>0.95</v>
      </c>
      <c r="F16" s="2">
        <v>1.05</v>
      </c>
    </row>
    <row r="17" spans="1:6">
      <c r="A17" s="2">
        <v>54</v>
      </c>
      <c r="B17" s="2">
        <v>0</v>
      </c>
      <c r="C17" s="2">
        <v>1</v>
      </c>
      <c r="D17" s="2">
        <v>20670</v>
      </c>
      <c r="E17" s="2">
        <v>0.95</v>
      </c>
      <c r="F17" s="2">
        <v>1.05</v>
      </c>
    </row>
    <row r="18" spans="1:6">
      <c r="A18" s="2">
        <v>55</v>
      </c>
      <c r="B18" s="2">
        <v>0</v>
      </c>
      <c r="C18" s="2">
        <v>1</v>
      </c>
      <c r="D18" s="2">
        <v>20670</v>
      </c>
      <c r="E18" s="2">
        <v>0.95</v>
      </c>
      <c r="F18" s="2">
        <v>1.05</v>
      </c>
    </row>
    <row r="19" spans="1:6">
      <c r="A19" s="2">
        <v>56</v>
      </c>
      <c r="B19" s="2">
        <v>0</v>
      </c>
      <c r="C19" s="2">
        <v>1</v>
      </c>
      <c r="D19" s="2">
        <v>20670</v>
      </c>
      <c r="E19" s="2">
        <v>0.95</v>
      </c>
      <c r="F19" s="2">
        <v>1.05</v>
      </c>
    </row>
    <row r="20" spans="1:6">
      <c r="A20" s="2">
        <v>57</v>
      </c>
      <c r="B20" s="2">
        <v>0</v>
      </c>
      <c r="C20" s="2">
        <v>1</v>
      </c>
      <c r="D20" s="2">
        <v>20670</v>
      </c>
      <c r="E20" s="2">
        <v>0.95</v>
      </c>
      <c r="F20" s="2">
        <v>1.05</v>
      </c>
    </row>
    <row r="21" spans="1:6">
      <c r="A21" s="2">
        <v>58</v>
      </c>
      <c r="B21" s="2">
        <v>0</v>
      </c>
      <c r="C21" s="2">
        <v>1</v>
      </c>
      <c r="D21" s="2">
        <v>20670</v>
      </c>
      <c r="E21" s="2">
        <v>0.95</v>
      </c>
      <c r="F21" s="2">
        <v>1.05</v>
      </c>
    </row>
    <row r="22" spans="1:6">
      <c r="A22" s="2">
        <v>59</v>
      </c>
      <c r="B22" s="2">
        <v>0</v>
      </c>
      <c r="C22" s="2">
        <v>1</v>
      </c>
      <c r="D22" s="2">
        <v>20670</v>
      </c>
      <c r="E22" s="2">
        <v>0.95</v>
      </c>
      <c r="F22" s="2">
        <v>1.05</v>
      </c>
    </row>
    <row r="23" spans="1:6">
      <c r="A23" s="2">
        <v>60</v>
      </c>
      <c r="B23" s="2">
        <v>0</v>
      </c>
      <c r="C23" s="2">
        <v>1</v>
      </c>
      <c r="D23" s="2">
        <v>20670</v>
      </c>
      <c r="E23" s="2">
        <v>0.95</v>
      </c>
      <c r="F23" s="2">
        <v>1.05</v>
      </c>
    </row>
    <row r="24" spans="1:6">
      <c r="A24" s="2">
        <v>61</v>
      </c>
      <c r="B24" s="2">
        <v>0</v>
      </c>
      <c r="C24" s="2">
        <v>1</v>
      </c>
      <c r="D24" s="2">
        <v>20670</v>
      </c>
      <c r="E24" s="2">
        <v>0.95</v>
      </c>
      <c r="F24" s="2">
        <v>1.05</v>
      </c>
    </row>
    <row r="25" spans="1:6">
      <c r="A25" s="2">
        <v>62</v>
      </c>
      <c r="B25" s="2">
        <v>0</v>
      </c>
      <c r="C25" s="2">
        <v>1</v>
      </c>
      <c r="D25" s="2">
        <v>20670</v>
      </c>
      <c r="E25" s="2">
        <v>0.95</v>
      </c>
      <c r="F25" s="2">
        <v>1.05</v>
      </c>
    </row>
    <row r="26" spans="1:6">
      <c r="A26" s="2">
        <v>63</v>
      </c>
      <c r="B26" s="2">
        <v>0</v>
      </c>
      <c r="C26" s="2">
        <v>1</v>
      </c>
      <c r="D26" s="2">
        <v>20670</v>
      </c>
      <c r="E26" s="2">
        <v>0.95</v>
      </c>
      <c r="F26" s="2">
        <v>1.05</v>
      </c>
    </row>
    <row r="27" spans="1:6">
      <c r="A27" s="2">
        <v>64</v>
      </c>
      <c r="B27" s="2">
        <v>0</v>
      </c>
      <c r="C27" s="2">
        <v>1</v>
      </c>
      <c r="D27" s="2">
        <v>20670</v>
      </c>
      <c r="E27" s="2">
        <v>0.95</v>
      </c>
      <c r="F27" s="2">
        <v>1.05</v>
      </c>
    </row>
    <row r="28" spans="1:6">
      <c r="A28" s="2">
        <v>65</v>
      </c>
      <c r="B28" s="2">
        <v>0</v>
      </c>
      <c r="C28" s="2">
        <v>1</v>
      </c>
      <c r="D28" s="2">
        <v>20670</v>
      </c>
      <c r="E28" s="2">
        <v>0.95</v>
      </c>
      <c r="F28" s="2">
        <v>1.05</v>
      </c>
    </row>
    <row r="29" spans="1:6">
      <c r="A29" s="2">
        <v>66</v>
      </c>
      <c r="B29" s="2">
        <v>0</v>
      </c>
      <c r="C29" s="2">
        <v>1</v>
      </c>
      <c r="D29" s="2">
        <v>20670</v>
      </c>
      <c r="E29" s="2">
        <v>0.95</v>
      </c>
      <c r="F29" s="2">
        <v>1.05</v>
      </c>
    </row>
    <row r="30" spans="1:6">
      <c r="A30" s="2">
        <v>67</v>
      </c>
      <c r="B30" s="2">
        <v>0</v>
      </c>
      <c r="C30" s="2">
        <v>1</v>
      </c>
      <c r="D30" s="2">
        <v>20670</v>
      </c>
      <c r="E30" s="2">
        <v>0.95</v>
      </c>
      <c r="F30" s="2">
        <v>1.05</v>
      </c>
    </row>
    <row r="31" spans="1:6">
      <c r="A31" s="2">
        <v>68</v>
      </c>
      <c r="B31" s="2">
        <v>0</v>
      </c>
      <c r="C31" s="2">
        <v>1</v>
      </c>
      <c r="D31" s="2">
        <v>20670</v>
      </c>
      <c r="E31" s="2">
        <v>0.95</v>
      </c>
      <c r="F31" s="2">
        <v>1.05</v>
      </c>
    </row>
    <row r="32" spans="1:6">
      <c r="A32" s="2">
        <v>69</v>
      </c>
      <c r="B32" s="2">
        <v>0</v>
      </c>
      <c r="C32" s="2">
        <v>1</v>
      </c>
      <c r="D32" s="2">
        <v>20670</v>
      </c>
      <c r="E32" s="2">
        <v>0.95</v>
      </c>
      <c r="F32" s="2">
        <v>1.05</v>
      </c>
    </row>
    <row r="33" spans="1:6">
      <c r="A33" s="2">
        <v>70</v>
      </c>
      <c r="B33" s="2">
        <v>0</v>
      </c>
      <c r="C33" s="2">
        <v>1</v>
      </c>
      <c r="D33" s="2">
        <v>20670</v>
      </c>
      <c r="E33" s="2">
        <v>0.95</v>
      </c>
      <c r="F33" s="2">
        <v>1.05</v>
      </c>
    </row>
    <row r="34" spans="1:6">
      <c r="A34" s="2">
        <v>71</v>
      </c>
      <c r="B34" s="2">
        <v>0</v>
      </c>
      <c r="C34" s="2">
        <v>1</v>
      </c>
      <c r="D34" s="2">
        <v>20670</v>
      </c>
      <c r="E34" s="2">
        <v>0.95</v>
      </c>
      <c r="F34" s="2">
        <v>1.05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5CB48-A4A2-3B45-AE12-15D4777DC8B8}">
  <dimension ref="A1:M33"/>
  <sheetViews>
    <sheetView zoomScaleNormal="100" workbookViewId="0">
      <selection activeCell="B15" sqref="B15"/>
    </sheetView>
  </sheetViews>
  <sheetFormatPr baseColWidth="10" defaultColWidth="11.5703125" defaultRowHeight="18"/>
  <cols>
    <col min="4" max="4" width="11.28515625" style="1" bestFit="1" customWidth="1"/>
    <col min="5" max="6" width="11.5703125" style="1"/>
  </cols>
  <sheetData>
    <row r="1" spans="1:8" ht="38">
      <c r="A1" s="3" t="s">
        <v>51</v>
      </c>
      <c r="B1" s="3" t="s">
        <v>1</v>
      </c>
      <c r="C1" s="3" t="s">
        <v>2</v>
      </c>
      <c r="D1" s="3" t="s">
        <v>3</v>
      </c>
      <c r="E1" s="3" t="s">
        <v>48</v>
      </c>
      <c r="F1" s="3" t="s">
        <v>49</v>
      </c>
      <c r="G1" s="3" t="s">
        <v>50</v>
      </c>
      <c r="H1" s="12" t="s">
        <v>44</v>
      </c>
    </row>
    <row r="2" spans="1:8">
      <c r="A2" s="15">
        <v>1</v>
      </c>
      <c r="B2" s="2">
        <v>39</v>
      </c>
      <c r="C2" s="2">
        <v>40</v>
      </c>
      <c r="D2" s="17">
        <v>0.18440000000000001</v>
      </c>
      <c r="E2" s="2">
        <v>100</v>
      </c>
      <c r="F2" s="2">
        <v>10</v>
      </c>
      <c r="G2" s="2">
        <v>10</v>
      </c>
      <c r="H2" s="13">
        <v>1</v>
      </c>
    </row>
    <row r="3" spans="1:8">
      <c r="A3" s="15">
        <v>2</v>
      </c>
      <c r="B3" s="2">
        <v>40</v>
      </c>
      <c r="C3" s="2">
        <v>41</v>
      </c>
      <c r="D3" s="17">
        <v>0.98599999999999999</v>
      </c>
      <c r="E3" s="2">
        <v>100</v>
      </c>
      <c r="F3" s="2">
        <v>10</v>
      </c>
      <c r="G3" s="2">
        <v>10</v>
      </c>
      <c r="H3" s="13">
        <v>1</v>
      </c>
    </row>
    <row r="4" spans="1:8">
      <c r="A4" s="15">
        <v>3</v>
      </c>
      <c r="B4" s="2">
        <v>41</v>
      </c>
      <c r="C4" s="2">
        <v>42</v>
      </c>
      <c r="D4" s="17">
        <v>0.73199999999999998</v>
      </c>
      <c r="E4" s="2">
        <v>100</v>
      </c>
      <c r="F4" s="2">
        <v>10</v>
      </c>
      <c r="G4" s="2">
        <v>10</v>
      </c>
      <c r="H4" s="13">
        <v>1</v>
      </c>
    </row>
    <row r="5" spans="1:8">
      <c r="A5" s="15">
        <v>4</v>
      </c>
      <c r="B5" s="2">
        <v>42</v>
      </c>
      <c r="C5" s="2">
        <v>43</v>
      </c>
      <c r="D5" s="17">
        <v>0.76219999999999999</v>
      </c>
      <c r="E5" s="2">
        <v>100</v>
      </c>
      <c r="F5" s="2">
        <v>10</v>
      </c>
      <c r="G5" s="2">
        <v>10</v>
      </c>
      <c r="H5" s="13">
        <v>1</v>
      </c>
    </row>
    <row r="6" spans="1:8">
      <c r="A6" s="15">
        <v>5</v>
      </c>
      <c r="B6" s="2">
        <v>43</v>
      </c>
      <c r="C6" s="2">
        <v>44</v>
      </c>
      <c r="D6" s="17">
        <v>1.6379999999999999</v>
      </c>
      <c r="E6" s="2">
        <v>100</v>
      </c>
      <c r="F6" s="2">
        <v>10</v>
      </c>
      <c r="G6" s="2">
        <v>10</v>
      </c>
      <c r="H6" s="13">
        <v>1</v>
      </c>
    </row>
    <row r="7" spans="1:8">
      <c r="A7" s="15">
        <v>6</v>
      </c>
      <c r="B7" s="2">
        <v>44</v>
      </c>
      <c r="C7" s="2">
        <v>45</v>
      </c>
      <c r="D7" s="17">
        <v>0.37440000000000001</v>
      </c>
      <c r="E7" s="2">
        <v>100</v>
      </c>
      <c r="F7" s="2">
        <v>10</v>
      </c>
      <c r="G7" s="2">
        <v>10</v>
      </c>
      <c r="H7" s="13">
        <v>1</v>
      </c>
    </row>
    <row r="8" spans="1:8">
      <c r="A8" s="15">
        <v>7</v>
      </c>
      <c r="B8" s="2">
        <v>45</v>
      </c>
      <c r="C8" s="2">
        <v>46</v>
      </c>
      <c r="D8" s="17">
        <v>1.4228000000000001</v>
      </c>
      <c r="E8" s="2">
        <v>100</v>
      </c>
      <c r="F8" s="2">
        <v>10</v>
      </c>
      <c r="G8" s="2">
        <v>10</v>
      </c>
      <c r="H8" s="13">
        <v>1</v>
      </c>
    </row>
    <row r="9" spans="1:8">
      <c r="A9" s="15">
        <v>8</v>
      </c>
      <c r="B9" s="2">
        <v>46</v>
      </c>
      <c r="C9" s="2">
        <v>47</v>
      </c>
      <c r="D9" s="17">
        <v>2.06</v>
      </c>
      <c r="E9" s="2">
        <v>100</v>
      </c>
      <c r="F9" s="2">
        <v>10</v>
      </c>
      <c r="G9" s="2">
        <v>10</v>
      </c>
      <c r="H9" s="13">
        <v>1</v>
      </c>
    </row>
    <row r="10" spans="1:8">
      <c r="A10" s="15">
        <v>9</v>
      </c>
      <c r="B10" s="2">
        <v>47</v>
      </c>
      <c r="C10" s="2">
        <v>48</v>
      </c>
      <c r="D10" s="17">
        <v>2.0880000000000001</v>
      </c>
      <c r="E10" s="2">
        <v>100</v>
      </c>
      <c r="F10" s="2">
        <v>10</v>
      </c>
      <c r="G10" s="2">
        <v>10</v>
      </c>
      <c r="H10" s="13">
        <v>1</v>
      </c>
    </row>
    <row r="11" spans="1:8">
      <c r="A11" s="15">
        <v>10</v>
      </c>
      <c r="B11" s="2">
        <v>48</v>
      </c>
      <c r="C11" s="2">
        <v>49</v>
      </c>
      <c r="D11" s="17">
        <v>0.39319999999999999</v>
      </c>
      <c r="E11" s="2">
        <v>100</v>
      </c>
      <c r="F11" s="2">
        <v>10</v>
      </c>
      <c r="G11" s="2">
        <v>10</v>
      </c>
      <c r="H11" s="13">
        <v>1</v>
      </c>
    </row>
    <row r="12" spans="1:8">
      <c r="A12" s="15">
        <v>11</v>
      </c>
      <c r="B12" s="2">
        <v>49</v>
      </c>
      <c r="C12" s="2">
        <v>50</v>
      </c>
      <c r="D12" s="17">
        <v>0.74880000000000002</v>
      </c>
      <c r="E12" s="2">
        <v>100</v>
      </c>
      <c r="F12" s="2">
        <v>10</v>
      </c>
      <c r="G12" s="2">
        <v>10</v>
      </c>
      <c r="H12" s="13">
        <v>1</v>
      </c>
    </row>
    <row r="13" spans="1:8">
      <c r="A13" s="15">
        <v>12</v>
      </c>
      <c r="B13" s="2">
        <v>50</v>
      </c>
      <c r="C13" s="2">
        <v>51</v>
      </c>
      <c r="D13" s="17">
        <v>2.9359999999999999</v>
      </c>
      <c r="E13" s="2">
        <v>100</v>
      </c>
      <c r="F13" s="2">
        <v>10</v>
      </c>
      <c r="G13" s="2">
        <v>10</v>
      </c>
      <c r="H13" s="13">
        <v>1</v>
      </c>
    </row>
    <row r="14" spans="1:8">
      <c r="A14" s="15">
        <v>13</v>
      </c>
      <c r="B14" s="2">
        <v>51</v>
      </c>
      <c r="C14" s="2">
        <v>52</v>
      </c>
      <c r="D14" s="17">
        <v>1.0831999999999999</v>
      </c>
      <c r="E14" s="2">
        <v>100</v>
      </c>
      <c r="F14" s="2">
        <v>10</v>
      </c>
      <c r="G14" s="2">
        <v>10</v>
      </c>
      <c r="H14" s="13">
        <v>1</v>
      </c>
    </row>
    <row r="15" spans="1:8">
      <c r="A15" s="15">
        <v>14</v>
      </c>
      <c r="B15" s="2">
        <v>52</v>
      </c>
      <c r="C15" s="2">
        <v>53</v>
      </c>
      <c r="D15" s="17">
        <v>1.1819999999999999</v>
      </c>
      <c r="E15" s="2">
        <v>100</v>
      </c>
      <c r="F15" s="2">
        <v>10</v>
      </c>
      <c r="G15" s="2">
        <v>10</v>
      </c>
      <c r="H15" s="13">
        <v>1</v>
      </c>
    </row>
    <row r="16" spans="1:8">
      <c r="A16" s="15">
        <v>15</v>
      </c>
      <c r="B16" s="2">
        <v>53</v>
      </c>
      <c r="C16" s="2">
        <v>54</v>
      </c>
      <c r="D16" s="17">
        <v>1.4925999999999999</v>
      </c>
      <c r="E16" s="2">
        <v>100</v>
      </c>
      <c r="F16" s="2">
        <v>10</v>
      </c>
      <c r="G16" s="2">
        <v>10</v>
      </c>
      <c r="H16" s="13">
        <v>1</v>
      </c>
    </row>
    <row r="17" spans="1:13">
      <c r="A17" s="15">
        <v>16</v>
      </c>
      <c r="B17" s="2">
        <v>54</v>
      </c>
      <c r="C17" s="2">
        <v>55</v>
      </c>
      <c r="D17" s="17">
        <v>2.5779999999999998</v>
      </c>
      <c r="E17" s="2">
        <v>100</v>
      </c>
      <c r="F17" s="2">
        <v>10</v>
      </c>
      <c r="G17" s="2">
        <v>10</v>
      </c>
      <c r="H17" s="13">
        <v>1</v>
      </c>
    </row>
    <row r="18" spans="1:13">
      <c r="A18" s="15">
        <v>17</v>
      </c>
      <c r="B18" s="2">
        <v>55</v>
      </c>
      <c r="C18" s="2">
        <v>56</v>
      </c>
      <c r="D18" s="17">
        <v>1.464</v>
      </c>
      <c r="E18" s="2">
        <v>100</v>
      </c>
      <c r="F18" s="2">
        <v>10</v>
      </c>
      <c r="G18" s="2">
        <v>10</v>
      </c>
      <c r="H18" s="13">
        <v>1</v>
      </c>
    </row>
    <row r="19" spans="1:13">
      <c r="A19" s="15">
        <v>18</v>
      </c>
      <c r="B19" s="2">
        <v>40</v>
      </c>
      <c r="C19" s="2">
        <v>57</v>
      </c>
      <c r="D19" s="17">
        <v>0.32800000000000001</v>
      </c>
      <c r="E19" s="2">
        <v>100</v>
      </c>
      <c r="F19" s="2">
        <v>10</v>
      </c>
      <c r="G19" s="2">
        <v>10</v>
      </c>
      <c r="H19" s="13">
        <v>1</v>
      </c>
    </row>
    <row r="20" spans="1:13">
      <c r="A20" s="15">
        <v>19</v>
      </c>
      <c r="B20" s="2">
        <v>57</v>
      </c>
      <c r="C20" s="2">
        <v>58</v>
      </c>
      <c r="D20" s="17">
        <v>3.0084</v>
      </c>
      <c r="E20" s="2">
        <v>100</v>
      </c>
      <c r="F20" s="2">
        <v>10</v>
      </c>
      <c r="G20" s="2">
        <v>10</v>
      </c>
      <c r="H20" s="13">
        <v>1</v>
      </c>
    </row>
    <row r="21" spans="1:13">
      <c r="A21" s="15">
        <v>20</v>
      </c>
      <c r="B21" s="2">
        <v>58</v>
      </c>
      <c r="C21" s="2">
        <v>59</v>
      </c>
      <c r="D21" s="17">
        <v>0.81899999999999995</v>
      </c>
      <c r="E21" s="2">
        <v>100</v>
      </c>
      <c r="F21" s="2">
        <v>10</v>
      </c>
      <c r="G21" s="2">
        <v>10</v>
      </c>
      <c r="H21" s="13">
        <v>1</v>
      </c>
    </row>
    <row r="22" spans="1:13">
      <c r="A22" s="15">
        <v>21</v>
      </c>
      <c r="B22" s="2">
        <v>59</v>
      </c>
      <c r="C22" s="2">
        <v>60</v>
      </c>
      <c r="D22" s="17">
        <v>1.4177999999999999</v>
      </c>
      <c r="E22" s="2">
        <v>100</v>
      </c>
      <c r="F22" s="2">
        <v>10</v>
      </c>
      <c r="G22" s="2">
        <v>10</v>
      </c>
      <c r="H22" s="13">
        <v>1</v>
      </c>
    </row>
    <row r="23" spans="1:13">
      <c r="A23" s="15">
        <v>22</v>
      </c>
      <c r="B23" s="2">
        <v>41</v>
      </c>
      <c r="C23" s="2">
        <v>61</v>
      </c>
      <c r="D23" s="17">
        <v>0.90239999999999998</v>
      </c>
      <c r="E23" s="2">
        <v>100</v>
      </c>
      <c r="F23" s="2">
        <v>10</v>
      </c>
      <c r="G23" s="2">
        <v>10</v>
      </c>
      <c r="H23" s="13">
        <v>1</v>
      </c>
    </row>
    <row r="24" spans="1:13">
      <c r="A24" s="15">
        <v>23</v>
      </c>
      <c r="B24" s="2">
        <v>61</v>
      </c>
      <c r="C24" s="2">
        <v>62</v>
      </c>
      <c r="D24" s="17">
        <v>1.796</v>
      </c>
      <c r="E24" s="2">
        <v>100</v>
      </c>
      <c r="F24" s="2">
        <v>10</v>
      </c>
      <c r="G24" s="2">
        <v>10</v>
      </c>
      <c r="H24" s="13">
        <v>1</v>
      </c>
      <c r="M24" s="11"/>
    </row>
    <row r="25" spans="1:13">
      <c r="A25" s="15">
        <v>24</v>
      </c>
      <c r="B25" s="2">
        <v>62</v>
      </c>
      <c r="C25" s="2">
        <v>63</v>
      </c>
      <c r="D25" s="17">
        <v>1.792</v>
      </c>
      <c r="E25" s="2">
        <v>100</v>
      </c>
      <c r="F25" s="2">
        <v>10</v>
      </c>
      <c r="G25" s="2">
        <v>10</v>
      </c>
      <c r="H25" s="13">
        <v>1</v>
      </c>
    </row>
    <row r="26" spans="1:13">
      <c r="A26" s="15">
        <v>25</v>
      </c>
      <c r="B26" s="2">
        <v>44</v>
      </c>
      <c r="C26" s="2">
        <v>64</v>
      </c>
      <c r="D26" s="17">
        <v>0.40600000000000003</v>
      </c>
      <c r="E26" s="2">
        <v>100</v>
      </c>
      <c r="F26" s="2">
        <v>10</v>
      </c>
      <c r="G26" s="2">
        <v>10</v>
      </c>
      <c r="H26" s="13">
        <v>1</v>
      </c>
    </row>
    <row r="27" spans="1:13">
      <c r="A27" s="15">
        <v>26</v>
      </c>
      <c r="B27" s="2">
        <v>64</v>
      </c>
      <c r="C27" s="2">
        <v>65</v>
      </c>
      <c r="D27" s="17">
        <v>0.56840000000000002</v>
      </c>
      <c r="E27" s="2">
        <v>100</v>
      </c>
      <c r="F27" s="2">
        <v>10</v>
      </c>
      <c r="G27" s="2">
        <v>10</v>
      </c>
      <c r="H27" s="13">
        <v>1</v>
      </c>
    </row>
    <row r="28" spans="1:13">
      <c r="A28" s="15">
        <v>27</v>
      </c>
      <c r="B28" s="2">
        <v>65</v>
      </c>
      <c r="C28" s="2">
        <v>66</v>
      </c>
      <c r="D28" s="17">
        <v>2.1179999999999999</v>
      </c>
      <c r="E28" s="2">
        <v>100</v>
      </c>
      <c r="F28" s="2">
        <v>10</v>
      </c>
      <c r="G28" s="2">
        <v>10</v>
      </c>
      <c r="H28" s="13">
        <v>1</v>
      </c>
    </row>
    <row r="29" spans="1:13">
      <c r="A29" s="15">
        <v>28</v>
      </c>
      <c r="B29" s="2">
        <v>66</v>
      </c>
      <c r="C29" s="2">
        <v>67</v>
      </c>
      <c r="D29" s="17">
        <v>1.6084000000000001</v>
      </c>
      <c r="E29" s="2">
        <v>100</v>
      </c>
      <c r="F29" s="2">
        <v>10</v>
      </c>
      <c r="G29" s="2">
        <v>10</v>
      </c>
      <c r="H29" s="13">
        <v>1</v>
      </c>
    </row>
    <row r="30" spans="1:13">
      <c r="A30" s="15">
        <v>29</v>
      </c>
      <c r="B30" s="2">
        <v>67</v>
      </c>
      <c r="C30" s="2">
        <v>68</v>
      </c>
      <c r="D30" s="17">
        <v>1.0149999999999999</v>
      </c>
      <c r="E30" s="2">
        <v>100</v>
      </c>
      <c r="F30" s="2">
        <v>10</v>
      </c>
      <c r="G30" s="2">
        <v>10</v>
      </c>
      <c r="H30" s="13">
        <v>1</v>
      </c>
    </row>
    <row r="31" spans="1:13">
      <c r="A31" s="15">
        <v>30</v>
      </c>
      <c r="B31" s="2">
        <v>68</v>
      </c>
      <c r="C31" s="2">
        <v>69</v>
      </c>
      <c r="D31" s="17">
        <v>1.9488000000000001</v>
      </c>
      <c r="E31" s="2">
        <v>100</v>
      </c>
      <c r="F31" s="2">
        <v>10</v>
      </c>
      <c r="G31" s="2">
        <v>10</v>
      </c>
      <c r="H31" s="13">
        <v>1</v>
      </c>
    </row>
    <row r="32" spans="1:13">
      <c r="A32" s="15">
        <v>31</v>
      </c>
      <c r="B32" s="2">
        <v>69</v>
      </c>
      <c r="C32" s="2">
        <v>70</v>
      </c>
      <c r="D32" s="17">
        <v>0.621</v>
      </c>
      <c r="E32" s="2">
        <v>100</v>
      </c>
      <c r="F32" s="2">
        <v>10</v>
      </c>
      <c r="G32" s="2">
        <v>10</v>
      </c>
      <c r="H32" s="13">
        <v>1</v>
      </c>
    </row>
    <row r="33" spans="1:8">
      <c r="A33" s="15">
        <v>32</v>
      </c>
      <c r="B33" s="2">
        <v>70</v>
      </c>
      <c r="C33" s="2">
        <v>71</v>
      </c>
      <c r="D33" s="17">
        <v>0.68200000000000005</v>
      </c>
      <c r="E33" s="2">
        <v>100</v>
      </c>
      <c r="F33" s="2">
        <v>10</v>
      </c>
      <c r="G33" s="2">
        <v>10</v>
      </c>
      <c r="H33" s="13">
        <v>1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A7574-2C62-2D4A-AD60-EB5B73B4D45B}">
  <dimension ref="A1:I5"/>
  <sheetViews>
    <sheetView workbookViewId="0">
      <selection activeCell="J9" sqref="J9"/>
    </sheetView>
  </sheetViews>
  <sheetFormatPr baseColWidth="10" defaultColWidth="11.5703125" defaultRowHeight="18"/>
  <cols>
    <col min="2" max="2" width="28.7109375" customWidth="1"/>
    <col min="3" max="3" width="25.7109375" customWidth="1"/>
    <col min="6" max="6" width="14.85546875" bestFit="1" customWidth="1"/>
  </cols>
  <sheetData>
    <row r="1" spans="1:9" ht="76">
      <c r="A1" s="3" t="s">
        <v>52</v>
      </c>
      <c r="B1" s="14" t="s">
        <v>56</v>
      </c>
      <c r="C1" s="14" t="s">
        <v>57</v>
      </c>
      <c r="D1" s="4" t="s">
        <v>36</v>
      </c>
      <c r="E1" s="4" t="s">
        <v>39</v>
      </c>
      <c r="F1" s="4" t="s">
        <v>54</v>
      </c>
      <c r="G1" s="4" t="s">
        <v>55</v>
      </c>
      <c r="H1" s="4" t="s">
        <v>81</v>
      </c>
      <c r="I1" s="4" t="s">
        <v>82</v>
      </c>
    </row>
    <row r="2" spans="1:9">
      <c r="A2" s="2">
        <v>43</v>
      </c>
      <c r="B2" s="2">
        <v>1</v>
      </c>
      <c r="C2" s="2">
        <v>2</v>
      </c>
      <c r="D2" s="2">
        <v>2</v>
      </c>
      <c r="E2" s="2">
        <f>3505000/4</f>
        <v>876250</v>
      </c>
      <c r="F2" s="2">
        <v>1</v>
      </c>
      <c r="G2" s="2">
        <v>1</v>
      </c>
      <c r="H2" s="2">
        <v>1</v>
      </c>
      <c r="I2" s="2">
        <v>0</v>
      </c>
    </row>
    <row r="3" spans="1:9">
      <c r="A3" s="2">
        <v>52</v>
      </c>
      <c r="B3" s="2">
        <v>1</v>
      </c>
      <c r="C3" s="2">
        <v>1</v>
      </c>
      <c r="D3" s="2">
        <v>2</v>
      </c>
      <c r="E3" s="2">
        <f t="shared" ref="E3:E5" si="0">3505000/4</f>
        <v>876250</v>
      </c>
      <c r="F3" s="2">
        <v>1</v>
      </c>
      <c r="G3" s="2">
        <v>1</v>
      </c>
      <c r="H3" s="2">
        <v>1</v>
      </c>
      <c r="I3" s="2">
        <v>0</v>
      </c>
    </row>
    <row r="4" spans="1:9">
      <c r="A4" s="2">
        <v>60</v>
      </c>
      <c r="B4" s="2">
        <v>1</v>
      </c>
      <c r="C4" s="2">
        <v>1</v>
      </c>
      <c r="D4" s="2">
        <v>2</v>
      </c>
      <c r="E4" s="2">
        <f t="shared" si="0"/>
        <v>876250</v>
      </c>
      <c r="F4" s="2">
        <v>1</v>
      </c>
      <c r="G4" s="2">
        <v>1</v>
      </c>
      <c r="H4" s="2">
        <v>1</v>
      </c>
      <c r="I4" s="2">
        <v>0</v>
      </c>
    </row>
    <row r="5" spans="1:9">
      <c r="A5" s="2">
        <v>67</v>
      </c>
      <c r="B5" s="2">
        <v>1</v>
      </c>
      <c r="C5" s="2">
        <v>1</v>
      </c>
      <c r="D5" s="2">
        <v>2</v>
      </c>
      <c r="E5" s="2">
        <f t="shared" si="0"/>
        <v>876250</v>
      </c>
      <c r="F5" s="2">
        <v>1</v>
      </c>
      <c r="G5" s="2">
        <v>1</v>
      </c>
      <c r="H5" s="2">
        <v>1</v>
      </c>
      <c r="I5" s="2">
        <v>0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B53A0-36DB-D546-B3DE-B35EAEE55B28}">
  <dimension ref="A1:Y34"/>
  <sheetViews>
    <sheetView workbookViewId="0">
      <selection activeCell="B35" sqref="B35"/>
    </sheetView>
  </sheetViews>
  <sheetFormatPr baseColWidth="10" defaultColWidth="11.5703125" defaultRowHeight="18"/>
  <sheetData>
    <row r="1" spans="1:25" s="1" customFormat="1">
      <c r="A1" s="3" t="s">
        <v>43</v>
      </c>
      <c r="B1" s="3">
        <v>1</v>
      </c>
      <c r="C1" s="3">
        <v>2</v>
      </c>
      <c r="D1" s="3">
        <v>3</v>
      </c>
      <c r="E1" s="3">
        <v>4</v>
      </c>
      <c r="F1" s="3">
        <v>5</v>
      </c>
      <c r="G1" s="3">
        <v>6</v>
      </c>
      <c r="H1" s="3">
        <v>7</v>
      </c>
      <c r="I1" s="3">
        <v>8</v>
      </c>
      <c r="J1" s="3">
        <v>9</v>
      </c>
      <c r="K1" s="3">
        <v>10</v>
      </c>
      <c r="L1" s="3">
        <v>11</v>
      </c>
      <c r="M1" s="3">
        <v>12</v>
      </c>
      <c r="N1" s="3">
        <v>13</v>
      </c>
      <c r="O1" s="3">
        <v>14</v>
      </c>
      <c r="P1" s="3">
        <v>15</v>
      </c>
      <c r="Q1" s="3">
        <v>16</v>
      </c>
      <c r="R1" s="3">
        <v>17</v>
      </c>
      <c r="S1" s="3">
        <v>18</v>
      </c>
      <c r="T1" s="3">
        <v>19</v>
      </c>
      <c r="U1" s="3">
        <v>20</v>
      </c>
      <c r="V1" s="3">
        <v>21</v>
      </c>
      <c r="W1" s="3">
        <v>22</v>
      </c>
      <c r="X1" s="3">
        <v>23</v>
      </c>
      <c r="Y1" s="3">
        <v>24</v>
      </c>
    </row>
    <row r="2" spans="1:25">
      <c r="A2" s="3">
        <v>39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>
      <c r="A3" s="3">
        <v>40</v>
      </c>
      <c r="B3" s="2">
        <v>100000</v>
      </c>
      <c r="C3" s="2">
        <v>100000</v>
      </c>
      <c r="D3" s="2">
        <v>100000</v>
      </c>
      <c r="E3" s="2">
        <f>100000*1.3</f>
        <v>130000</v>
      </c>
      <c r="F3" s="2">
        <f>100000*0.55</f>
        <v>55000.000000000007</v>
      </c>
      <c r="G3" s="2">
        <v>100000</v>
      </c>
      <c r="H3" s="2">
        <v>100000</v>
      </c>
      <c r="I3" s="2">
        <v>100000</v>
      </c>
      <c r="J3" s="2">
        <v>100000</v>
      </c>
      <c r="K3" s="2">
        <v>100000</v>
      </c>
      <c r="L3" s="2">
        <v>100000</v>
      </c>
      <c r="M3" s="2">
        <v>100000</v>
      </c>
      <c r="N3" s="2">
        <v>100000</v>
      </c>
      <c r="O3" s="2">
        <v>100000</v>
      </c>
      <c r="P3" s="2">
        <v>100000</v>
      </c>
      <c r="Q3" s="2">
        <v>100000</v>
      </c>
      <c r="R3" s="2">
        <v>100000</v>
      </c>
      <c r="S3" s="2">
        <v>100000</v>
      </c>
      <c r="T3" s="2">
        <v>100000</v>
      </c>
      <c r="U3" s="2">
        <v>100000</v>
      </c>
      <c r="V3" s="2">
        <v>100000</v>
      </c>
      <c r="W3" s="2">
        <v>100000</v>
      </c>
      <c r="X3" s="2">
        <v>100000</v>
      </c>
      <c r="Y3" s="2">
        <v>100000</v>
      </c>
    </row>
    <row r="4" spans="1:25">
      <c r="A4" s="3">
        <v>41</v>
      </c>
      <c r="B4" s="2">
        <v>90000</v>
      </c>
      <c r="C4" s="2">
        <v>90000</v>
      </c>
      <c r="D4" s="2">
        <v>90000</v>
      </c>
      <c r="E4" s="2">
        <f>90000*1.3</f>
        <v>117000</v>
      </c>
      <c r="F4" s="2">
        <f>90000*0.55</f>
        <v>49500.000000000007</v>
      </c>
      <c r="G4" s="2">
        <v>90000</v>
      </c>
      <c r="H4" s="2">
        <v>90000</v>
      </c>
      <c r="I4" s="2">
        <v>90000</v>
      </c>
      <c r="J4" s="2">
        <v>90000</v>
      </c>
      <c r="K4" s="2">
        <v>90000</v>
      </c>
      <c r="L4" s="2">
        <v>90000</v>
      </c>
      <c r="M4" s="2">
        <v>90000</v>
      </c>
      <c r="N4" s="2">
        <v>90000</v>
      </c>
      <c r="O4" s="2">
        <v>90000</v>
      </c>
      <c r="P4" s="2">
        <v>90000</v>
      </c>
      <c r="Q4" s="2">
        <v>90000</v>
      </c>
      <c r="R4" s="2">
        <v>90000</v>
      </c>
      <c r="S4" s="2">
        <v>90000</v>
      </c>
      <c r="T4" s="2">
        <v>90000</v>
      </c>
      <c r="U4" s="2">
        <v>90000</v>
      </c>
      <c r="V4" s="2">
        <v>90000</v>
      </c>
      <c r="W4" s="2">
        <v>90000</v>
      </c>
      <c r="X4" s="2">
        <v>90000</v>
      </c>
      <c r="Y4" s="2">
        <v>90000</v>
      </c>
    </row>
    <row r="5" spans="1:25">
      <c r="A5" s="3">
        <v>42</v>
      </c>
      <c r="B5" s="2">
        <v>120000</v>
      </c>
      <c r="C5" s="2">
        <v>120000</v>
      </c>
      <c r="D5" s="2">
        <v>120000</v>
      </c>
      <c r="E5" s="2">
        <f>120000*1.3</f>
        <v>156000</v>
      </c>
      <c r="F5" s="2">
        <f>120000*0.55</f>
        <v>66000</v>
      </c>
      <c r="G5" s="2">
        <v>120000</v>
      </c>
      <c r="H5" s="2">
        <v>120000</v>
      </c>
      <c r="I5" s="2">
        <v>120000</v>
      </c>
      <c r="J5" s="2">
        <v>120000</v>
      </c>
      <c r="K5" s="2">
        <v>120000</v>
      </c>
      <c r="L5" s="2">
        <v>120000</v>
      </c>
      <c r="M5" s="2">
        <v>120000</v>
      </c>
      <c r="N5" s="2">
        <v>120000</v>
      </c>
      <c r="O5" s="2">
        <v>120000</v>
      </c>
      <c r="P5" s="2">
        <v>120000</v>
      </c>
      <c r="Q5" s="2">
        <v>120000</v>
      </c>
      <c r="R5" s="2">
        <v>120000</v>
      </c>
      <c r="S5" s="2">
        <v>120000</v>
      </c>
      <c r="T5" s="2">
        <v>120000</v>
      </c>
      <c r="U5" s="2">
        <v>120000</v>
      </c>
      <c r="V5" s="2">
        <v>120000</v>
      </c>
      <c r="W5" s="2">
        <v>120000</v>
      </c>
      <c r="X5" s="2">
        <v>120000</v>
      </c>
      <c r="Y5" s="2">
        <v>120000</v>
      </c>
    </row>
    <row r="6" spans="1:25">
      <c r="A6" s="3">
        <v>43</v>
      </c>
      <c r="B6" s="2">
        <v>60000</v>
      </c>
      <c r="C6" s="2">
        <v>60000</v>
      </c>
      <c r="D6" s="2">
        <v>60000</v>
      </c>
      <c r="E6" s="2">
        <v>60000</v>
      </c>
      <c r="F6" s="2">
        <f>60000*0.55</f>
        <v>33000</v>
      </c>
      <c r="G6" s="2">
        <v>60000</v>
      </c>
      <c r="H6" s="2">
        <v>60000</v>
      </c>
      <c r="I6" s="2">
        <v>60000</v>
      </c>
      <c r="J6" s="2">
        <v>60000</v>
      </c>
      <c r="K6" s="2">
        <v>60000</v>
      </c>
      <c r="L6" s="2">
        <v>60000</v>
      </c>
      <c r="M6" s="2">
        <v>60000</v>
      </c>
      <c r="N6" s="2">
        <v>60000</v>
      </c>
      <c r="O6" s="2">
        <v>60000</v>
      </c>
      <c r="P6" s="2">
        <v>60000</v>
      </c>
      <c r="Q6" s="2">
        <v>60000</v>
      </c>
      <c r="R6" s="2">
        <v>60000</v>
      </c>
      <c r="S6" s="2">
        <v>60000</v>
      </c>
      <c r="T6" s="2">
        <v>60000</v>
      </c>
      <c r="U6" s="2">
        <v>60000</v>
      </c>
      <c r="V6" s="2">
        <v>60000</v>
      </c>
      <c r="W6" s="2">
        <v>60000</v>
      </c>
      <c r="X6" s="2">
        <v>60000</v>
      </c>
      <c r="Y6" s="2">
        <v>60000</v>
      </c>
    </row>
    <row r="7" spans="1:25">
      <c r="A7" s="3">
        <v>44</v>
      </c>
      <c r="B7" s="2">
        <v>60000</v>
      </c>
      <c r="C7" s="2">
        <v>60000</v>
      </c>
      <c r="D7" s="2">
        <v>60000</v>
      </c>
      <c r="E7" s="2">
        <f>60000*1.3</f>
        <v>78000</v>
      </c>
      <c r="F7" s="2">
        <f>60000*0.55</f>
        <v>33000</v>
      </c>
      <c r="G7" s="2">
        <v>60000</v>
      </c>
      <c r="H7" s="2">
        <v>60000</v>
      </c>
      <c r="I7" s="2">
        <v>60000</v>
      </c>
      <c r="J7" s="2">
        <v>60000</v>
      </c>
      <c r="K7" s="2">
        <v>60000</v>
      </c>
      <c r="L7" s="2">
        <v>60000</v>
      </c>
      <c r="M7" s="2">
        <v>60000</v>
      </c>
      <c r="N7" s="2">
        <v>60000</v>
      </c>
      <c r="O7" s="2">
        <v>60000</v>
      </c>
      <c r="P7" s="2">
        <v>60000</v>
      </c>
      <c r="Q7" s="2">
        <v>60000</v>
      </c>
      <c r="R7" s="2">
        <v>60000</v>
      </c>
      <c r="S7" s="2">
        <v>60000</v>
      </c>
      <c r="T7" s="2">
        <v>60000</v>
      </c>
      <c r="U7" s="2">
        <v>60000</v>
      </c>
      <c r="V7" s="2">
        <v>60000</v>
      </c>
      <c r="W7" s="2">
        <v>60000</v>
      </c>
      <c r="X7" s="2">
        <v>60000</v>
      </c>
      <c r="Y7" s="2">
        <v>60000</v>
      </c>
    </row>
    <row r="8" spans="1:25">
      <c r="A8" s="3">
        <v>45</v>
      </c>
      <c r="B8" s="2">
        <v>200000</v>
      </c>
      <c r="C8" s="2">
        <v>200000</v>
      </c>
      <c r="D8" s="2">
        <v>200000</v>
      </c>
      <c r="E8" s="2">
        <f>200000*1.3</f>
        <v>260000</v>
      </c>
      <c r="F8" s="2">
        <f>200000*0.55</f>
        <v>110000.00000000001</v>
      </c>
      <c r="G8" s="2">
        <v>200000</v>
      </c>
      <c r="H8" s="2">
        <v>200000</v>
      </c>
      <c r="I8" s="2">
        <v>200000</v>
      </c>
      <c r="J8" s="2">
        <v>200000</v>
      </c>
      <c r="K8" s="2">
        <v>200000</v>
      </c>
      <c r="L8" s="2">
        <v>200000</v>
      </c>
      <c r="M8" s="2">
        <v>200000</v>
      </c>
      <c r="N8" s="2">
        <v>200000</v>
      </c>
      <c r="O8" s="2">
        <v>200000</v>
      </c>
      <c r="P8" s="2">
        <v>200000</v>
      </c>
      <c r="Q8" s="2">
        <v>200000</v>
      </c>
      <c r="R8" s="2">
        <v>200000</v>
      </c>
      <c r="S8" s="2">
        <v>200000</v>
      </c>
      <c r="T8" s="2">
        <v>200000</v>
      </c>
      <c r="U8" s="2">
        <v>200000</v>
      </c>
      <c r="V8" s="2">
        <v>200000</v>
      </c>
      <c r="W8" s="2">
        <v>200000</v>
      </c>
      <c r="X8" s="2">
        <v>200000</v>
      </c>
      <c r="Y8" s="2">
        <v>200000</v>
      </c>
    </row>
    <row r="9" spans="1:25">
      <c r="A9" s="3">
        <v>46</v>
      </c>
      <c r="B9" s="2">
        <v>200000</v>
      </c>
      <c r="C9" s="2">
        <v>200000</v>
      </c>
      <c r="D9" s="2">
        <v>200000</v>
      </c>
      <c r="E9" s="2">
        <f>200000*1.3</f>
        <v>260000</v>
      </c>
      <c r="F9" s="2">
        <f>200000*0.55</f>
        <v>110000.00000000001</v>
      </c>
      <c r="G9" s="2">
        <v>200000</v>
      </c>
      <c r="H9" s="2">
        <v>200000</v>
      </c>
      <c r="I9" s="2">
        <v>200000</v>
      </c>
      <c r="J9" s="2">
        <v>200000</v>
      </c>
      <c r="K9" s="2">
        <v>200000</v>
      </c>
      <c r="L9" s="2">
        <v>200000</v>
      </c>
      <c r="M9" s="2">
        <v>200000</v>
      </c>
      <c r="N9" s="2">
        <v>200000</v>
      </c>
      <c r="O9" s="2">
        <v>200000</v>
      </c>
      <c r="P9" s="2">
        <v>200000</v>
      </c>
      <c r="Q9" s="2">
        <v>200000</v>
      </c>
      <c r="R9" s="2">
        <v>200000</v>
      </c>
      <c r="S9" s="2">
        <v>200000</v>
      </c>
      <c r="T9" s="2">
        <v>200000</v>
      </c>
      <c r="U9" s="2">
        <v>200000</v>
      </c>
      <c r="V9" s="2">
        <v>200000</v>
      </c>
      <c r="W9" s="2">
        <v>200000</v>
      </c>
      <c r="X9" s="2">
        <v>200000</v>
      </c>
      <c r="Y9" s="2">
        <v>200000</v>
      </c>
    </row>
    <row r="10" spans="1:25">
      <c r="A10" s="3">
        <v>47</v>
      </c>
      <c r="B10" s="2">
        <v>60000</v>
      </c>
      <c r="C10" s="2">
        <v>60000</v>
      </c>
      <c r="D10" s="2">
        <v>60000</v>
      </c>
      <c r="E10" s="2">
        <f>60000*1.3</f>
        <v>78000</v>
      </c>
      <c r="F10" s="2">
        <f>60000*0.55</f>
        <v>33000</v>
      </c>
      <c r="G10" s="2">
        <v>60000</v>
      </c>
      <c r="H10" s="2">
        <v>60000</v>
      </c>
      <c r="I10" s="2">
        <v>60000</v>
      </c>
      <c r="J10" s="2">
        <v>60000</v>
      </c>
      <c r="K10" s="2">
        <v>60000</v>
      </c>
      <c r="L10" s="2">
        <v>60000</v>
      </c>
      <c r="M10" s="2">
        <v>60000</v>
      </c>
      <c r="N10" s="2">
        <v>60000</v>
      </c>
      <c r="O10" s="2">
        <v>60000</v>
      </c>
      <c r="P10" s="2">
        <v>60000</v>
      </c>
      <c r="Q10" s="2">
        <v>60000</v>
      </c>
      <c r="R10" s="2">
        <v>60000</v>
      </c>
      <c r="S10" s="2">
        <v>60000</v>
      </c>
      <c r="T10" s="2">
        <v>60000</v>
      </c>
      <c r="U10" s="2">
        <v>60000</v>
      </c>
      <c r="V10" s="2">
        <v>60000</v>
      </c>
      <c r="W10" s="2">
        <v>60000</v>
      </c>
      <c r="X10" s="2">
        <v>60000</v>
      </c>
      <c r="Y10" s="2">
        <v>60000</v>
      </c>
    </row>
    <row r="11" spans="1:25">
      <c r="A11" s="3">
        <v>48</v>
      </c>
      <c r="B11" s="2">
        <v>60000</v>
      </c>
      <c r="C11" s="2">
        <v>60000</v>
      </c>
      <c r="D11" s="2">
        <v>60000</v>
      </c>
      <c r="E11" s="2">
        <f>60000*1.3</f>
        <v>78000</v>
      </c>
      <c r="F11" s="2">
        <f>60000*0.55</f>
        <v>33000</v>
      </c>
      <c r="G11" s="2">
        <v>60000</v>
      </c>
      <c r="H11" s="2">
        <v>60000</v>
      </c>
      <c r="I11" s="2">
        <v>60000</v>
      </c>
      <c r="J11" s="2">
        <v>60000</v>
      </c>
      <c r="K11" s="2">
        <v>60000</v>
      </c>
      <c r="L11" s="2">
        <v>60000</v>
      </c>
      <c r="M11" s="2">
        <v>60000</v>
      </c>
      <c r="N11" s="2">
        <v>60000</v>
      </c>
      <c r="O11" s="2">
        <v>60000</v>
      </c>
      <c r="P11" s="2">
        <v>60000</v>
      </c>
      <c r="Q11" s="2">
        <v>60000</v>
      </c>
      <c r="R11" s="2">
        <v>60000</v>
      </c>
      <c r="S11" s="2">
        <v>60000</v>
      </c>
      <c r="T11" s="2">
        <v>60000</v>
      </c>
      <c r="U11" s="2">
        <v>60000</v>
      </c>
      <c r="V11" s="2">
        <v>60000</v>
      </c>
      <c r="W11" s="2">
        <v>60000</v>
      </c>
      <c r="X11" s="2">
        <v>60000</v>
      </c>
      <c r="Y11" s="2">
        <v>60000</v>
      </c>
    </row>
    <row r="12" spans="1:25">
      <c r="A12" s="3">
        <v>49</v>
      </c>
      <c r="B12" s="2">
        <v>45000</v>
      </c>
      <c r="C12" s="2">
        <v>45000</v>
      </c>
      <c r="D12" s="2">
        <v>45000</v>
      </c>
      <c r="E12" s="2">
        <f>45000*1.3</f>
        <v>58500</v>
      </c>
      <c r="F12" s="2">
        <f>45000*0.55</f>
        <v>24750.000000000004</v>
      </c>
      <c r="G12" s="2">
        <v>45000</v>
      </c>
      <c r="H12" s="2">
        <v>45000</v>
      </c>
      <c r="I12" s="2">
        <v>45000</v>
      </c>
      <c r="J12" s="2">
        <v>45000</v>
      </c>
      <c r="K12" s="2">
        <v>45000</v>
      </c>
      <c r="L12" s="2">
        <v>45000</v>
      </c>
      <c r="M12" s="2">
        <v>45000</v>
      </c>
      <c r="N12" s="2">
        <v>45000</v>
      </c>
      <c r="O12" s="2">
        <v>45000</v>
      </c>
      <c r="P12" s="2">
        <v>45000</v>
      </c>
      <c r="Q12" s="2">
        <v>45000</v>
      </c>
      <c r="R12" s="2">
        <v>45000</v>
      </c>
      <c r="S12" s="2">
        <v>45000</v>
      </c>
      <c r="T12" s="2">
        <v>45000</v>
      </c>
      <c r="U12" s="2">
        <v>45000</v>
      </c>
      <c r="V12" s="2">
        <v>45000</v>
      </c>
      <c r="W12" s="2">
        <v>45000</v>
      </c>
      <c r="X12" s="2">
        <v>45000</v>
      </c>
      <c r="Y12" s="2">
        <v>45000</v>
      </c>
    </row>
    <row r="13" spans="1:25">
      <c r="A13" s="3">
        <v>50</v>
      </c>
      <c r="B13" s="2">
        <v>60000</v>
      </c>
      <c r="C13" s="2">
        <v>60000</v>
      </c>
      <c r="D13" s="2">
        <v>60000</v>
      </c>
      <c r="E13" s="2">
        <f>60000*1.3</f>
        <v>78000</v>
      </c>
      <c r="F13" s="2">
        <f>60000*0.55</f>
        <v>33000</v>
      </c>
      <c r="G13" s="2">
        <v>60000</v>
      </c>
      <c r="H13" s="2">
        <v>60000</v>
      </c>
      <c r="I13" s="2">
        <v>60000</v>
      </c>
      <c r="J13" s="2">
        <v>60000</v>
      </c>
      <c r="K13" s="2">
        <v>60000</v>
      </c>
      <c r="L13" s="2">
        <v>60000</v>
      </c>
      <c r="M13" s="2">
        <v>60000</v>
      </c>
      <c r="N13" s="2">
        <v>60000</v>
      </c>
      <c r="O13" s="2">
        <v>60000</v>
      </c>
      <c r="P13" s="2">
        <v>60000</v>
      </c>
      <c r="Q13" s="2">
        <v>60000</v>
      </c>
      <c r="R13" s="2">
        <v>60000</v>
      </c>
      <c r="S13" s="2">
        <v>60000</v>
      </c>
      <c r="T13" s="2">
        <v>60000</v>
      </c>
      <c r="U13" s="2">
        <v>60000</v>
      </c>
      <c r="V13" s="2">
        <v>60000</v>
      </c>
      <c r="W13" s="2">
        <v>60000</v>
      </c>
      <c r="X13" s="2">
        <v>60000</v>
      </c>
      <c r="Y13" s="2">
        <v>60000</v>
      </c>
    </row>
    <row r="14" spans="1:25">
      <c r="A14" s="3">
        <v>51</v>
      </c>
      <c r="B14" s="2">
        <v>60000</v>
      </c>
      <c r="C14" s="2">
        <v>60000</v>
      </c>
      <c r="D14" s="2">
        <v>60000</v>
      </c>
      <c r="E14" s="2">
        <f>60000*1.3</f>
        <v>78000</v>
      </c>
      <c r="F14" s="2">
        <f>60000*0.55</f>
        <v>33000</v>
      </c>
      <c r="G14" s="2">
        <v>60000</v>
      </c>
      <c r="H14" s="2">
        <v>60000</v>
      </c>
      <c r="I14" s="2">
        <v>60000</v>
      </c>
      <c r="J14" s="2">
        <v>60000</v>
      </c>
      <c r="K14" s="2">
        <v>60000</v>
      </c>
      <c r="L14" s="2">
        <v>60000</v>
      </c>
      <c r="M14" s="2">
        <v>60000</v>
      </c>
      <c r="N14" s="2">
        <v>60000</v>
      </c>
      <c r="O14" s="2">
        <v>60000</v>
      </c>
      <c r="P14" s="2">
        <v>60000</v>
      </c>
      <c r="Q14" s="2">
        <v>60000</v>
      </c>
      <c r="R14" s="2">
        <v>60000</v>
      </c>
      <c r="S14" s="2">
        <v>60000</v>
      </c>
      <c r="T14" s="2">
        <v>60000</v>
      </c>
      <c r="U14" s="2">
        <v>60000</v>
      </c>
      <c r="V14" s="2">
        <v>60000</v>
      </c>
      <c r="W14" s="2">
        <v>60000</v>
      </c>
      <c r="X14" s="2">
        <v>60000</v>
      </c>
      <c r="Y14" s="2">
        <v>60000</v>
      </c>
    </row>
    <row r="15" spans="1:25">
      <c r="A15" s="3">
        <v>52</v>
      </c>
      <c r="B15" s="2">
        <v>200000</v>
      </c>
      <c r="C15" s="2">
        <v>200000</v>
      </c>
      <c r="D15" s="2">
        <v>200000</v>
      </c>
      <c r="E15" s="2">
        <f>200000*1.3</f>
        <v>260000</v>
      </c>
      <c r="F15" s="2">
        <f>200000*0.55</f>
        <v>110000.00000000001</v>
      </c>
      <c r="G15" s="2">
        <v>200000</v>
      </c>
      <c r="H15" s="2">
        <v>200000</v>
      </c>
      <c r="I15" s="2">
        <v>200000</v>
      </c>
      <c r="J15" s="2">
        <v>200000</v>
      </c>
      <c r="K15" s="2">
        <v>200000</v>
      </c>
      <c r="L15" s="2">
        <v>200000</v>
      </c>
      <c r="M15" s="2">
        <v>200000</v>
      </c>
      <c r="N15" s="2">
        <v>200000</v>
      </c>
      <c r="O15" s="2">
        <v>200000</v>
      </c>
      <c r="P15" s="2">
        <v>200000</v>
      </c>
      <c r="Q15" s="2">
        <v>200000</v>
      </c>
      <c r="R15" s="2">
        <v>200000</v>
      </c>
      <c r="S15" s="2">
        <v>200000</v>
      </c>
      <c r="T15" s="2">
        <v>200000</v>
      </c>
      <c r="U15" s="2">
        <v>200000</v>
      </c>
      <c r="V15" s="2">
        <v>200000</v>
      </c>
      <c r="W15" s="2">
        <v>200000</v>
      </c>
      <c r="X15" s="2">
        <v>200000</v>
      </c>
      <c r="Y15" s="2">
        <v>200000</v>
      </c>
    </row>
    <row r="16" spans="1:25">
      <c r="A16" s="3">
        <v>53</v>
      </c>
      <c r="B16" s="2">
        <v>60000</v>
      </c>
      <c r="C16" s="2">
        <v>60000</v>
      </c>
      <c r="D16" s="2">
        <v>60000</v>
      </c>
      <c r="E16" s="2">
        <f>60000*1.3</f>
        <v>78000</v>
      </c>
      <c r="F16" s="2">
        <f>60000*0.55</f>
        <v>33000</v>
      </c>
      <c r="G16" s="2">
        <v>60000</v>
      </c>
      <c r="H16" s="2">
        <v>60000</v>
      </c>
      <c r="I16" s="2">
        <v>60000</v>
      </c>
      <c r="J16" s="2">
        <v>60000</v>
      </c>
      <c r="K16" s="2">
        <v>60000</v>
      </c>
      <c r="L16" s="2">
        <v>60000</v>
      </c>
      <c r="M16" s="2">
        <v>60000</v>
      </c>
      <c r="N16" s="2">
        <v>60000</v>
      </c>
      <c r="O16" s="2">
        <v>60000</v>
      </c>
      <c r="P16" s="2">
        <v>60000</v>
      </c>
      <c r="Q16" s="2">
        <v>60000</v>
      </c>
      <c r="R16" s="2">
        <v>60000</v>
      </c>
      <c r="S16" s="2">
        <v>60000</v>
      </c>
      <c r="T16" s="2">
        <v>60000</v>
      </c>
      <c r="U16" s="2">
        <v>60000</v>
      </c>
      <c r="V16" s="2">
        <v>60000</v>
      </c>
      <c r="W16" s="2">
        <v>60000</v>
      </c>
      <c r="X16" s="2">
        <v>60000</v>
      </c>
      <c r="Y16" s="2">
        <v>60000</v>
      </c>
    </row>
    <row r="17" spans="1:25">
      <c r="A17" s="3">
        <v>54</v>
      </c>
      <c r="B17" s="2">
        <v>60000</v>
      </c>
      <c r="C17" s="2">
        <v>60000</v>
      </c>
      <c r="D17" s="2">
        <v>60000</v>
      </c>
      <c r="E17" s="2">
        <f>60000*1.3</f>
        <v>78000</v>
      </c>
      <c r="F17" s="2">
        <f>60000*0.55</f>
        <v>33000</v>
      </c>
      <c r="G17" s="2">
        <v>60000</v>
      </c>
      <c r="H17" s="2">
        <v>60000</v>
      </c>
      <c r="I17" s="2">
        <v>60000</v>
      </c>
      <c r="J17" s="2">
        <v>60000</v>
      </c>
      <c r="K17" s="2">
        <v>60000</v>
      </c>
      <c r="L17" s="2">
        <v>60000</v>
      </c>
      <c r="M17" s="2">
        <v>60000</v>
      </c>
      <c r="N17" s="2">
        <v>60000</v>
      </c>
      <c r="O17" s="2">
        <v>60000</v>
      </c>
      <c r="P17" s="2">
        <v>60000</v>
      </c>
      <c r="Q17" s="2">
        <v>60000</v>
      </c>
      <c r="R17" s="2">
        <v>60000</v>
      </c>
      <c r="S17" s="2">
        <v>60000</v>
      </c>
      <c r="T17" s="2">
        <v>60000</v>
      </c>
      <c r="U17" s="2">
        <v>60000</v>
      </c>
      <c r="V17" s="2">
        <v>60000</v>
      </c>
      <c r="W17" s="2">
        <v>60000</v>
      </c>
      <c r="X17" s="2">
        <v>60000</v>
      </c>
      <c r="Y17" s="2">
        <v>60000</v>
      </c>
    </row>
    <row r="18" spans="1:25">
      <c r="A18" s="3">
        <v>55</v>
      </c>
      <c r="B18" s="2">
        <v>60000</v>
      </c>
      <c r="C18" s="2">
        <v>60000</v>
      </c>
      <c r="D18" s="2">
        <v>60000</v>
      </c>
      <c r="E18" s="2">
        <f>60000*1.3</f>
        <v>78000</v>
      </c>
      <c r="F18" s="2">
        <f>60000*0.55</f>
        <v>33000</v>
      </c>
      <c r="G18" s="2">
        <v>60000</v>
      </c>
      <c r="H18" s="2">
        <v>60000</v>
      </c>
      <c r="I18" s="2">
        <v>60000</v>
      </c>
      <c r="J18" s="2">
        <v>60000</v>
      </c>
      <c r="K18" s="2">
        <v>60000</v>
      </c>
      <c r="L18" s="2">
        <v>60000</v>
      </c>
      <c r="M18" s="2">
        <v>60000</v>
      </c>
      <c r="N18" s="2">
        <v>60000</v>
      </c>
      <c r="O18" s="2">
        <v>60000</v>
      </c>
      <c r="P18" s="2">
        <v>60000</v>
      </c>
      <c r="Q18" s="2">
        <v>60000</v>
      </c>
      <c r="R18" s="2">
        <v>60000</v>
      </c>
      <c r="S18" s="2">
        <v>60000</v>
      </c>
      <c r="T18" s="2">
        <v>60000</v>
      </c>
      <c r="U18" s="2">
        <v>60000</v>
      </c>
      <c r="V18" s="2">
        <v>60000</v>
      </c>
      <c r="W18" s="2">
        <v>60000</v>
      </c>
      <c r="X18" s="2">
        <v>60000</v>
      </c>
      <c r="Y18" s="2">
        <v>60000</v>
      </c>
    </row>
    <row r="19" spans="1:25">
      <c r="A19" s="3">
        <v>56</v>
      </c>
      <c r="B19" s="2">
        <v>90000</v>
      </c>
      <c r="C19" s="2">
        <v>90000</v>
      </c>
      <c r="D19" s="2">
        <v>90000</v>
      </c>
      <c r="E19" s="2">
        <f>90000*1.3</f>
        <v>117000</v>
      </c>
      <c r="F19" s="2">
        <f>90000*0.55</f>
        <v>49500.000000000007</v>
      </c>
      <c r="G19" s="2">
        <v>90000</v>
      </c>
      <c r="H19" s="2">
        <v>90000</v>
      </c>
      <c r="I19" s="2">
        <v>90000</v>
      </c>
      <c r="J19" s="2">
        <v>90000</v>
      </c>
      <c r="K19" s="2">
        <v>90000</v>
      </c>
      <c r="L19" s="2">
        <v>90000</v>
      </c>
      <c r="M19" s="2">
        <v>90000</v>
      </c>
      <c r="N19" s="2">
        <v>90000</v>
      </c>
      <c r="O19" s="2">
        <v>90000</v>
      </c>
      <c r="P19" s="2">
        <v>90000</v>
      </c>
      <c r="Q19" s="2">
        <v>90000</v>
      </c>
      <c r="R19" s="2">
        <v>90000</v>
      </c>
      <c r="S19" s="2">
        <v>90000</v>
      </c>
      <c r="T19" s="2">
        <v>90000</v>
      </c>
      <c r="U19" s="2">
        <v>90000</v>
      </c>
      <c r="V19" s="2">
        <v>90000</v>
      </c>
      <c r="W19" s="2">
        <v>90000</v>
      </c>
      <c r="X19" s="2">
        <v>90000</v>
      </c>
      <c r="Y19" s="2">
        <v>90000</v>
      </c>
    </row>
    <row r="20" spans="1:25">
      <c r="A20" s="3">
        <v>57</v>
      </c>
      <c r="B20" s="2">
        <v>90000</v>
      </c>
      <c r="C20" s="2">
        <v>90000</v>
      </c>
      <c r="D20" s="2">
        <v>90000</v>
      </c>
      <c r="E20" s="2">
        <f>90000*1.3</f>
        <v>117000</v>
      </c>
      <c r="F20" s="2">
        <f>90000*0.55</f>
        <v>49500.000000000007</v>
      </c>
      <c r="G20" s="2">
        <v>90000</v>
      </c>
      <c r="H20" s="2">
        <v>90000</v>
      </c>
      <c r="I20" s="2">
        <v>90000</v>
      </c>
      <c r="J20" s="2">
        <v>90000</v>
      </c>
      <c r="K20" s="2">
        <v>90000</v>
      </c>
      <c r="L20" s="2">
        <v>90000</v>
      </c>
      <c r="M20" s="2">
        <v>90000</v>
      </c>
      <c r="N20" s="2">
        <v>90000</v>
      </c>
      <c r="O20" s="2">
        <v>90000</v>
      </c>
      <c r="P20" s="2">
        <v>90000</v>
      </c>
      <c r="Q20" s="2">
        <v>90000</v>
      </c>
      <c r="R20" s="2">
        <v>90000</v>
      </c>
      <c r="S20" s="2">
        <v>90000</v>
      </c>
      <c r="T20" s="2">
        <v>90000</v>
      </c>
      <c r="U20" s="2">
        <v>90000</v>
      </c>
      <c r="V20" s="2">
        <v>90000</v>
      </c>
      <c r="W20" s="2">
        <v>90000</v>
      </c>
      <c r="X20" s="2">
        <v>90000</v>
      </c>
      <c r="Y20" s="2">
        <v>90000</v>
      </c>
    </row>
    <row r="21" spans="1:25">
      <c r="A21" s="3">
        <v>58</v>
      </c>
      <c r="B21" s="2">
        <v>90000</v>
      </c>
      <c r="C21" s="2">
        <v>90000</v>
      </c>
      <c r="D21" s="2">
        <v>90000</v>
      </c>
      <c r="E21" s="2">
        <f>90000*1.3</f>
        <v>117000</v>
      </c>
      <c r="F21" s="2">
        <f>90000*0.55</f>
        <v>49500.000000000007</v>
      </c>
      <c r="G21" s="2">
        <v>90000</v>
      </c>
      <c r="H21" s="2">
        <v>90000</v>
      </c>
      <c r="I21" s="2">
        <v>90000</v>
      </c>
      <c r="J21" s="2">
        <v>90000</v>
      </c>
      <c r="K21" s="2">
        <v>90000</v>
      </c>
      <c r="L21" s="2">
        <v>90000</v>
      </c>
      <c r="M21" s="2">
        <v>90000</v>
      </c>
      <c r="N21" s="2">
        <v>90000</v>
      </c>
      <c r="O21" s="2">
        <v>90000</v>
      </c>
      <c r="P21" s="2">
        <v>90000</v>
      </c>
      <c r="Q21" s="2">
        <v>90000</v>
      </c>
      <c r="R21" s="2">
        <v>90000</v>
      </c>
      <c r="S21" s="2">
        <v>90000</v>
      </c>
      <c r="T21" s="2">
        <v>90000</v>
      </c>
      <c r="U21" s="2">
        <v>90000</v>
      </c>
      <c r="V21" s="2">
        <v>90000</v>
      </c>
      <c r="W21" s="2">
        <v>90000</v>
      </c>
      <c r="X21" s="2">
        <v>90000</v>
      </c>
      <c r="Y21" s="2">
        <v>90000</v>
      </c>
    </row>
    <row r="22" spans="1:25">
      <c r="A22" s="3">
        <v>59</v>
      </c>
      <c r="B22" s="2">
        <v>200000</v>
      </c>
      <c r="C22" s="2">
        <v>200000</v>
      </c>
      <c r="D22" s="2">
        <v>200000</v>
      </c>
      <c r="E22" s="2">
        <f>200000*1.3</f>
        <v>260000</v>
      </c>
      <c r="F22" s="2">
        <f>200000*0.55</f>
        <v>110000.00000000001</v>
      </c>
      <c r="G22" s="2">
        <v>200000</v>
      </c>
      <c r="H22" s="2">
        <v>200000</v>
      </c>
      <c r="I22" s="2">
        <v>200000</v>
      </c>
      <c r="J22" s="2">
        <v>200000</v>
      </c>
      <c r="K22" s="2">
        <v>200000</v>
      </c>
      <c r="L22" s="2">
        <v>200000</v>
      </c>
      <c r="M22" s="2">
        <v>200000</v>
      </c>
      <c r="N22" s="2">
        <v>200000</v>
      </c>
      <c r="O22" s="2">
        <v>200000</v>
      </c>
      <c r="P22" s="2">
        <v>200000</v>
      </c>
      <c r="Q22" s="2">
        <v>200000</v>
      </c>
      <c r="R22" s="2">
        <v>200000</v>
      </c>
      <c r="S22" s="2">
        <v>200000</v>
      </c>
      <c r="T22" s="2">
        <v>200000</v>
      </c>
      <c r="U22" s="2">
        <v>200000</v>
      </c>
      <c r="V22" s="2">
        <v>200000</v>
      </c>
      <c r="W22" s="2">
        <v>200000</v>
      </c>
      <c r="X22" s="2">
        <v>200000</v>
      </c>
      <c r="Y22" s="2">
        <v>200000</v>
      </c>
    </row>
    <row r="23" spans="1:25">
      <c r="A23" s="3">
        <v>60</v>
      </c>
      <c r="B23" s="2">
        <v>90000</v>
      </c>
      <c r="C23" s="2">
        <v>90000</v>
      </c>
      <c r="D23" s="2">
        <v>90000</v>
      </c>
      <c r="E23" s="2">
        <f>90000*1.3</f>
        <v>117000</v>
      </c>
      <c r="F23" s="2">
        <f>90000*0.55</f>
        <v>49500.000000000007</v>
      </c>
      <c r="G23" s="2">
        <v>90000</v>
      </c>
      <c r="H23" s="2">
        <v>90000</v>
      </c>
      <c r="I23" s="2">
        <v>90000</v>
      </c>
      <c r="J23" s="2">
        <v>90000</v>
      </c>
      <c r="K23" s="2">
        <v>90000</v>
      </c>
      <c r="L23" s="2">
        <v>90000</v>
      </c>
      <c r="M23" s="2">
        <v>90000</v>
      </c>
      <c r="N23" s="2">
        <v>90000</v>
      </c>
      <c r="O23" s="2">
        <v>90000</v>
      </c>
      <c r="P23" s="2">
        <v>90000</v>
      </c>
      <c r="Q23" s="2">
        <v>90000</v>
      </c>
      <c r="R23" s="2">
        <v>90000</v>
      </c>
      <c r="S23" s="2">
        <v>90000</v>
      </c>
      <c r="T23" s="2">
        <v>90000</v>
      </c>
      <c r="U23" s="2">
        <v>90000</v>
      </c>
      <c r="V23" s="2">
        <v>90000</v>
      </c>
      <c r="W23" s="2">
        <v>90000</v>
      </c>
      <c r="X23" s="2">
        <v>90000</v>
      </c>
      <c r="Y23" s="2">
        <v>90000</v>
      </c>
    </row>
    <row r="24" spans="1:25">
      <c r="A24" s="3">
        <v>61</v>
      </c>
      <c r="B24" s="2">
        <v>90000</v>
      </c>
      <c r="C24" s="2">
        <v>90000</v>
      </c>
      <c r="D24" s="2">
        <v>90000</v>
      </c>
      <c r="E24" s="2">
        <f>90000*1.3</f>
        <v>117000</v>
      </c>
      <c r="F24" s="2">
        <f>90000*0.55</f>
        <v>49500.000000000007</v>
      </c>
      <c r="G24" s="2">
        <v>90000</v>
      </c>
      <c r="H24" s="2">
        <v>90000</v>
      </c>
      <c r="I24" s="2">
        <v>90000</v>
      </c>
      <c r="J24" s="2">
        <v>90000</v>
      </c>
      <c r="K24" s="2">
        <v>90000</v>
      </c>
      <c r="L24" s="2">
        <v>90000</v>
      </c>
      <c r="M24" s="2">
        <v>90000</v>
      </c>
      <c r="N24" s="2">
        <v>90000</v>
      </c>
      <c r="O24" s="2">
        <v>90000</v>
      </c>
      <c r="P24" s="2">
        <v>90000</v>
      </c>
      <c r="Q24" s="2">
        <v>90000</v>
      </c>
      <c r="R24" s="2">
        <v>90000</v>
      </c>
      <c r="S24" s="2">
        <v>90000</v>
      </c>
      <c r="T24" s="2">
        <v>90000</v>
      </c>
      <c r="U24" s="2">
        <v>90000</v>
      </c>
      <c r="V24" s="2">
        <v>90000</v>
      </c>
      <c r="W24" s="2">
        <v>90000</v>
      </c>
      <c r="X24" s="2">
        <v>90000</v>
      </c>
      <c r="Y24" s="2">
        <v>90000</v>
      </c>
    </row>
    <row r="25" spans="1:25">
      <c r="A25" s="3">
        <v>62</v>
      </c>
      <c r="B25" s="2">
        <v>420000</v>
      </c>
      <c r="C25" s="2">
        <v>420000</v>
      </c>
      <c r="D25" s="2">
        <v>420000</v>
      </c>
      <c r="E25" s="2">
        <f>420000*1.3</f>
        <v>546000</v>
      </c>
      <c r="F25" s="2">
        <f>420000*0.55</f>
        <v>231000.00000000003</v>
      </c>
      <c r="G25" s="2">
        <v>420000</v>
      </c>
      <c r="H25" s="2">
        <v>420000</v>
      </c>
      <c r="I25" s="2">
        <v>420000</v>
      </c>
      <c r="J25" s="2">
        <v>420000</v>
      </c>
      <c r="K25" s="2">
        <v>420000</v>
      </c>
      <c r="L25" s="2">
        <v>420000</v>
      </c>
      <c r="M25" s="2">
        <v>420000</v>
      </c>
      <c r="N25" s="2">
        <v>420000</v>
      </c>
      <c r="O25" s="2">
        <v>420000</v>
      </c>
      <c r="P25" s="2">
        <v>420000</v>
      </c>
      <c r="Q25" s="2">
        <v>420000</v>
      </c>
      <c r="R25" s="2">
        <v>420000</v>
      </c>
      <c r="S25" s="2">
        <v>420000</v>
      </c>
      <c r="T25" s="2">
        <v>420000</v>
      </c>
      <c r="U25" s="2">
        <v>420000</v>
      </c>
      <c r="V25" s="2">
        <v>420000</v>
      </c>
      <c r="W25" s="2">
        <v>420000</v>
      </c>
      <c r="X25" s="2">
        <v>420000</v>
      </c>
      <c r="Y25" s="2">
        <v>420000</v>
      </c>
    </row>
    <row r="26" spans="1:25">
      <c r="A26" s="3">
        <v>63</v>
      </c>
      <c r="B26" s="2">
        <v>200000</v>
      </c>
      <c r="C26" s="2">
        <v>200000</v>
      </c>
      <c r="D26" s="2">
        <v>200000</v>
      </c>
      <c r="E26" s="2">
        <f>200000*1.3</f>
        <v>260000</v>
      </c>
      <c r="F26" s="2">
        <f>200000*0.55</f>
        <v>110000.00000000001</v>
      </c>
      <c r="G26" s="2">
        <v>200000</v>
      </c>
      <c r="H26" s="2">
        <v>200000</v>
      </c>
      <c r="I26" s="2">
        <v>200000</v>
      </c>
      <c r="J26" s="2">
        <v>200000</v>
      </c>
      <c r="K26" s="2">
        <v>200000</v>
      </c>
      <c r="L26" s="2">
        <v>200000</v>
      </c>
      <c r="M26" s="2">
        <v>200000</v>
      </c>
      <c r="N26" s="2">
        <v>200000</v>
      </c>
      <c r="O26" s="2">
        <v>200000</v>
      </c>
      <c r="P26" s="2">
        <v>200000</v>
      </c>
      <c r="Q26" s="2">
        <v>200000</v>
      </c>
      <c r="R26" s="2">
        <v>200000</v>
      </c>
      <c r="S26" s="2">
        <v>200000</v>
      </c>
      <c r="T26" s="2">
        <v>200000</v>
      </c>
      <c r="U26" s="2">
        <v>200000</v>
      </c>
      <c r="V26" s="2">
        <v>200000</v>
      </c>
      <c r="W26" s="2">
        <v>200000</v>
      </c>
      <c r="X26" s="2">
        <v>200000</v>
      </c>
      <c r="Y26" s="2">
        <v>200000</v>
      </c>
    </row>
    <row r="27" spans="1:25">
      <c r="A27" s="3">
        <v>64</v>
      </c>
      <c r="B27" s="2">
        <v>60000</v>
      </c>
      <c r="C27" s="2">
        <v>60000</v>
      </c>
      <c r="D27" s="2">
        <v>60000</v>
      </c>
      <c r="E27" s="2">
        <f>60000*1.3</f>
        <v>78000</v>
      </c>
      <c r="F27" s="2">
        <f>60000*0.55</f>
        <v>33000</v>
      </c>
      <c r="G27" s="2">
        <v>60000</v>
      </c>
      <c r="H27" s="2">
        <v>60000</v>
      </c>
      <c r="I27" s="2">
        <v>60000</v>
      </c>
      <c r="J27" s="2">
        <v>60000</v>
      </c>
      <c r="K27" s="2">
        <v>60000</v>
      </c>
      <c r="L27" s="2">
        <v>60000</v>
      </c>
      <c r="M27" s="2">
        <v>60000</v>
      </c>
      <c r="N27" s="2">
        <v>60000</v>
      </c>
      <c r="O27" s="2">
        <v>60000</v>
      </c>
      <c r="P27" s="2">
        <v>60000</v>
      </c>
      <c r="Q27" s="2">
        <v>60000</v>
      </c>
      <c r="R27" s="2">
        <v>60000</v>
      </c>
      <c r="S27" s="2">
        <v>60000</v>
      </c>
      <c r="T27" s="2">
        <v>60000</v>
      </c>
      <c r="U27" s="2">
        <v>60000</v>
      </c>
      <c r="V27" s="2">
        <v>60000</v>
      </c>
      <c r="W27" s="2">
        <v>60000</v>
      </c>
      <c r="X27" s="2">
        <v>60000</v>
      </c>
      <c r="Y27" s="2">
        <v>60000</v>
      </c>
    </row>
    <row r="28" spans="1:25">
      <c r="A28" s="3">
        <v>65</v>
      </c>
      <c r="B28" s="2">
        <v>60000</v>
      </c>
      <c r="C28" s="2">
        <v>60000</v>
      </c>
      <c r="D28" s="2">
        <v>60000</v>
      </c>
      <c r="E28" s="2">
        <f>60000*1.3</f>
        <v>78000</v>
      </c>
      <c r="F28" s="2">
        <f>60000*0.55</f>
        <v>33000</v>
      </c>
      <c r="G28" s="2">
        <v>60000</v>
      </c>
      <c r="H28" s="2">
        <v>60000</v>
      </c>
      <c r="I28" s="2">
        <v>60000</v>
      </c>
      <c r="J28" s="2">
        <v>60000</v>
      </c>
      <c r="K28" s="2">
        <v>60000</v>
      </c>
      <c r="L28" s="2">
        <v>60000</v>
      </c>
      <c r="M28" s="2">
        <v>60000</v>
      </c>
      <c r="N28" s="2">
        <v>60000</v>
      </c>
      <c r="O28" s="2">
        <v>60000</v>
      </c>
      <c r="P28" s="2">
        <v>60000</v>
      </c>
      <c r="Q28" s="2">
        <v>60000</v>
      </c>
      <c r="R28" s="2">
        <v>60000</v>
      </c>
      <c r="S28" s="2">
        <v>60000</v>
      </c>
      <c r="T28" s="2">
        <v>60000</v>
      </c>
      <c r="U28" s="2">
        <v>60000</v>
      </c>
      <c r="V28" s="2">
        <v>60000</v>
      </c>
      <c r="W28" s="2">
        <v>60000</v>
      </c>
      <c r="X28" s="2">
        <v>60000</v>
      </c>
      <c r="Y28" s="2">
        <v>60000</v>
      </c>
    </row>
    <row r="29" spans="1:25">
      <c r="A29" s="3">
        <v>66</v>
      </c>
      <c r="B29" s="2">
        <v>60000</v>
      </c>
      <c r="C29" s="2">
        <v>60000</v>
      </c>
      <c r="D29" s="2">
        <v>60000</v>
      </c>
      <c r="E29" s="2">
        <f>60000*1.3</f>
        <v>78000</v>
      </c>
      <c r="F29" s="2">
        <f>60000*0.55</f>
        <v>33000</v>
      </c>
      <c r="G29" s="2">
        <v>60000</v>
      </c>
      <c r="H29" s="2">
        <v>60000</v>
      </c>
      <c r="I29" s="2">
        <v>60000</v>
      </c>
      <c r="J29" s="2">
        <v>60000</v>
      </c>
      <c r="K29" s="2">
        <v>60000</v>
      </c>
      <c r="L29" s="2">
        <v>60000</v>
      </c>
      <c r="M29" s="2">
        <v>60000</v>
      </c>
      <c r="N29" s="2">
        <v>60000</v>
      </c>
      <c r="O29" s="2">
        <v>60000</v>
      </c>
      <c r="P29" s="2">
        <v>60000</v>
      </c>
      <c r="Q29" s="2">
        <v>60000</v>
      </c>
      <c r="R29" s="2">
        <v>60000</v>
      </c>
      <c r="S29" s="2">
        <v>60000</v>
      </c>
      <c r="T29" s="2">
        <v>60000</v>
      </c>
      <c r="U29" s="2">
        <v>60000</v>
      </c>
      <c r="V29" s="2">
        <v>60000</v>
      </c>
      <c r="W29" s="2">
        <v>60000</v>
      </c>
      <c r="X29" s="2">
        <v>60000</v>
      </c>
      <c r="Y29" s="2">
        <v>60000</v>
      </c>
    </row>
    <row r="30" spans="1:25">
      <c r="A30" s="3">
        <v>67</v>
      </c>
      <c r="B30" s="2">
        <v>120000</v>
      </c>
      <c r="C30" s="2">
        <v>120000</v>
      </c>
      <c r="D30" s="2">
        <v>120000</v>
      </c>
      <c r="E30" s="2">
        <f>120000*1.3</f>
        <v>156000</v>
      </c>
      <c r="F30" s="2">
        <f>120000*0.55</f>
        <v>66000</v>
      </c>
      <c r="G30" s="2">
        <v>120000</v>
      </c>
      <c r="H30" s="2">
        <v>120000</v>
      </c>
      <c r="I30" s="2">
        <v>120000</v>
      </c>
      <c r="J30" s="2">
        <v>120000</v>
      </c>
      <c r="K30" s="2">
        <v>120000</v>
      </c>
      <c r="L30" s="2">
        <v>120000</v>
      </c>
      <c r="M30" s="2">
        <v>120000</v>
      </c>
      <c r="N30" s="2">
        <v>120000</v>
      </c>
      <c r="O30" s="2">
        <v>120000</v>
      </c>
      <c r="P30" s="2">
        <v>120000</v>
      </c>
      <c r="Q30" s="2">
        <v>120000</v>
      </c>
      <c r="R30" s="2">
        <v>120000</v>
      </c>
      <c r="S30" s="2">
        <v>120000</v>
      </c>
      <c r="T30" s="2">
        <v>120000</v>
      </c>
      <c r="U30" s="2">
        <v>120000</v>
      </c>
      <c r="V30" s="2">
        <v>120000</v>
      </c>
      <c r="W30" s="2">
        <v>120000</v>
      </c>
      <c r="X30" s="2">
        <v>120000</v>
      </c>
      <c r="Y30" s="2">
        <v>120000</v>
      </c>
    </row>
    <row r="31" spans="1:25">
      <c r="A31" s="3">
        <v>68</v>
      </c>
      <c r="B31" s="2">
        <v>20000</v>
      </c>
      <c r="C31" s="2">
        <v>20000</v>
      </c>
      <c r="D31" s="2">
        <v>20000</v>
      </c>
      <c r="E31" s="2">
        <f>20000*1.3</f>
        <v>26000</v>
      </c>
      <c r="F31" s="2">
        <f>20000*0.55</f>
        <v>11000</v>
      </c>
      <c r="G31" s="2">
        <v>20000</v>
      </c>
      <c r="H31" s="2">
        <v>20000</v>
      </c>
      <c r="I31" s="2">
        <v>20000</v>
      </c>
      <c r="J31" s="2">
        <v>20000</v>
      </c>
      <c r="K31" s="2">
        <v>20000</v>
      </c>
      <c r="L31" s="2">
        <v>20000</v>
      </c>
      <c r="M31" s="2">
        <v>20000</v>
      </c>
      <c r="N31" s="2">
        <v>20000</v>
      </c>
      <c r="O31" s="2">
        <v>20000</v>
      </c>
      <c r="P31" s="2">
        <v>20000</v>
      </c>
      <c r="Q31" s="2">
        <v>20000</v>
      </c>
      <c r="R31" s="2">
        <v>20000</v>
      </c>
      <c r="S31" s="2">
        <v>20000</v>
      </c>
      <c r="T31" s="2">
        <v>20000</v>
      </c>
      <c r="U31" s="2">
        <v>20000</v>
      </c>
      <c r="V31" s="2">
        <v>20000</v>
      </c>
      <c r="W31" s="2">
        <v>20000</v>
      </c>
      <c r="X31" s="2">
        <v>20000</v>
      </c>
      <c r="Y31" s="2">
        <v>20000</v>
      </c>
    </row>
    <row r="32" spans="1:25">
      <c r="A32" s="3">
        <v>69</v>
      </c>
      <c r="B32" s="2">
        <v>150000</v>
      </c>
      <c r="C32" s="2">
        <v>150000</v>
      </c>
      <c r="D32" s="2">
        <v>150000</v>
      </c>
      <c r="E32" s="2">
        <f>150000*1.3</f>
        <v>195000</v>
      </c>
      <c r="F32" s="2">
        <f>150000*0.55</f>
        <v>82500</v>
      </c>
      <c r="G32" s="2">
        <v>150000</v>
      </c>
      <c r="H32" s="2">
        <v>150000</v>
      </c>
      <c r="I32" s="2">
        <v>150000</v>
      </c>
      <c r="J32" s="2">
        <v>150000</v>
      </c>
      <c r="K32" s="2">
        <v>150000</v>
      </c>
      <c r="L32" s="2">
        <v>150000</v>
      </c>
      <c r="M32" s="2">
        <v>150000</v>
      </c>
      <c r="N32" s="2">
        <v>150000</v>
      </c>
      <c r="O32" s="2">
        <v>150000</v>
      </c>
      <c r="P32" s="2">
        <v>150000</v>
      </c>
      <c r="Q32" s="2">
        <v>150000</v>
      </c>
      <c r="R32" s="2">
        <v>150000</v>
      </c>
      <c r="S32" s="2">
        <v>150000</v>
      </c>
      <c r="T32" s="2">
        <v>150000</v>
      </c>
      <c r="U32" s="2">
        <v>150000</v>
      </c>
      <c r="V32" s="2">
        <v>150000</v>
      </c>
      <c r="W32" s="2">
        <v>150000</v>
      </c>
      <c r="X32" s="2">
        <v>150000</v>
      </c>
      <c r="Y32" s="2">
        <v>150000</v>
      </c>
    </row>
    <row r="33" spans="1:25">
      <c r="A33" s="3">
        <v>70</v>
      </c>
      <c r="B33" s="2">
        <v>210000</v>
      </c>
      <c r="C33" s="2">
        <v>210000</v>
      </c>
      <c r="D33" s="2">
        <v>210000</v>
      </c>
      <c r="E33" s="2">
        <f>210000*1.3</f>
        <v>273000</v>
      </c>
      <c r="F33" s="2">
        <f>210000*0.55</f>
        <v>115500.00000000001</v>
      </c>
      <c r="G33" s="2">
        <v>210000</v>
      </c>
      <c r="H33" s="2">
        <v>210000</v>
      </c>
      <c r="I33" s="2">
        <v>210000</v>
      </c>
      <c r="J33" s="2">
        <v>210000</v>
      </c>
      <c r="K33" s="2">
        <v>210000</v>
      </c>
      <c r="L33" s="2">
        <v>210000</v>
      </c>
      <c r="M33" s="2">
        <v>210000</v>
      </c>
      <c r="N33" s="2">
        <v>210000</v>
      </c>
      <c r="O33" s="2">
        <v>210000</v>
      </c>
      <c r="P33" s="2">
        <v>210000</v>
      </c>
      <c r="Q33" s="2">
        <v>210000</v>
      </c>
      <c r="R33" s="2">
        <v>210000</v>
      </c>
      <c r="S33" s="2">
        <v>210000</v>
      </c>
      <c r="T33" s="2">
        <v>210000</v>
      </c>
      <c r="U33" s="2">
        <v>210000</v>
      </c>
      <c r="V33" s="2">
        <v>210000</v>
      </c>
      <c r="W33" s="2">
        <v>210000</v>
      </c>
      <c r="X33" s="2">
        <v>210000</v>
      </c>
      <c r="Y33" s="2">
        <v>210000</v>
      </c>
    </row>
    <row r="34" spans="1:25">
      <c r="A34" s="3">
        <v>71</v>
      </c>
      <c r="B34" s="2">
        <v>60000</v>
      </c>
      <c r="C34" s="2">
        <v>60000</v>
      </c>
      <c r="D34" s="2">
        <v>60000</v>
      </c>
      <c r="E34" s="2">
        <f>60000*1.3</f>
        <v>78000</v>
      </c>
      <c r="F34" s="2">
        <f>60000*0.55</f>
        <v>33000</v>
      </c>
      <c r="G34" s="2">
        <v>60000</v>
      </c>
      <c r="H34" s="2">
        <v>60000</v>
      </c>
      <c r="I34" s="2">
        <v>60000</v>
      </c>
      <c r="J34" s="2">
        <v>60000</v>
      </c>
      <c r="K34" s="2">
        <v>60000</v>
      </c>
      <c r="L34" s="2">
        <v>60000</v>
      </c>
      <c r="M34" s="2">
        <v>60000</v>
      </c>
      <c r="N34" s="2">
        <v>60000</v>
      </c>
      <c r="O34" s="2">
        <v>60000</v>
      </c>
      <c r="P34" s="2">
        <v>60000</v>
      </c>
      <c r="Q34" s="2">
        <v>60000</v>
      </c>
      <c r="R34" s="2">
        <v>60000</v>
      </c>
      <c r="S34" s="2">
        <v>60000</v>
      </c>
      <c r="T34" s="2">
        <v>60000</v>
      </c>
      <c r="U34" s="2">
        <v>60000</v>
      </c>
      <c r="V34" s="2">
        <v>60000</v>
      </c>
      <c r="W34" s="2">
        <v>60000</v>
      </c>
      <c r="X34" s="2">
        <v>60000</v>
      </c>
      <c r="Y34" s="2">
        <v>60000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4F6C0-2EF3-4871-BE92-57D1D7C95F76}">
  <dimension ref="A1:T4"/>
  <sheetViews>
    <sheetView tabSelected="1" zoomScaleNormal="100" workbookViewId="0">
      <selection activeCell="D4" sqref="D4"/>
    </sheetView>
  </sheetViews>
  <sheetFormatPr baseColWidth="10" defaultColWidth="8.7109375" defaultRowHeight="18"/>
  <cols>
    <col min="1" max="1" width="9.140625" style="1" bestFit="1" customWidth="1"/>
    <col min="2" max="2" width="7.140625" style="1" bestFit="1" customWidth="1"/>
    <col min="3" max="3" width="25.5703125" style="1" bestFit="1" customWidth="1"/>
    <col min="4" max="4" width="25.28515625" style="1" bestFit="1" customWidth="1"/>
    <col min="5" max="6" width="18.7109375" style="1" bestFit="1" customWidth="1"/>
    <col min="7" max="7" width="19" style="1" bestFit="1" customWidth="1"/>
    <col min="8" max="8" width="20" style="1" bestFit="1" customWidth="1"/>
    <col min="9" max="9" width="21.42578125" style="1" bestFit="1" customWidth="1"/>
    <col min="10" max="10" width="11.28515625" style="1" bestFit="1" customWidth="1"/>
    <col min="11" max="14" width="7.7109375" style="1" bestFit="1" customWidth="1"/>
    <col min="15" max="15" width="8.7109375" style="1" bestFit="1" customWidth="1"/>
    <col min="16" max="16" width="15.42578125" style="1" bestFit="1" customWidth="1"/>
    <col min="17" max="18" width="6.7109375" style="1" bestFit="1" customWidth="1"/>
    <col min="19" max="20" width="9" style="1" bestFit="1" customWidth="1"/>
    <col min="21" max="16384" width="8.7109375" style="1"/>
  </cols>
  <sheetData>
    <row r="1" spans="1:20" ht="38">
      <c r="A1" s="3" t="s">
        <v>4</v>
      </c>
      <c r="B1" s="3" t="s">
        <v>5</v>
      </c>
      <c r="C1" s="14" t="s">
        <v>65</v>
      </c>
      <c r="D1" s="14" t="s">
        <v>66</v>
      </c>
      <c r="E1" s="4" t="s">
        <v>24</v>
      </c>
      <c r="F1" s="4" t="s">
        <v>23</v>
      </c>
      <c r="G1" s="4" t="s">
        <v>64</v>
      </c>
      <c r="H1" s="3" t="s">
        <v>60</v>
      </c>
      <c r="I1" s="3" t="s">
        <v>61</v>
      </c>
      <c r="J1" s="4" t="s">
        <v>48</v>
      </c>
      <c r="K1" s="4" t="s">
        <v>70</v>
      </c>
      <c r="L1" s="4" t="s">
        <v>71</v>
      </c>
      <c r="M1" s="4" t="s">
        <v>72</v>
      </c>
      <c r="N1" s="4" t="s">
        <v>73</v>
      </c>
      <c r="O1" s="4" t="s">
        <v>74</v>
      </c>
      <c r="P1" s="14" t="s">
        <v>68</v>
      </c>
      <c r="Q1" s="3" t="s">
        <v>75</v>
      </c>
      <c r="R1" s="3" t="s">
        <v>76</v>
      </c>
      <c r="S1" s="16" t="s">
        <v>77</v>
      </c>
      <c r="T1" s="16" t="s">
        <v>78</v>
      </c>
    </row>
    <row r="2" spans="1:20">
      <c r="A2" s="2">
        <v>38</v>
      </c>
      <c r="B2" s="2">
        <v>39</v>
      </c>
      <c r="C2" s="2">
        <v>1</v>
      </c>
      <c r="D2" s="2">
        <v>1</v>
      </c>
      <c r="E2" s="2">
        <v>10</v>
      </c>
      <c r="F2" s="2">
        <v>0.8</v>
      </c>
      <c r="G2" s="2">
        <v>0.5</v>
      </c>
      <c r="H2" s="2">
        <v>0</v>
      </c>
      <c r="I2" s="2">
        <v>0</v>
      </c>
      <c r="J2" s="2">
        <v>100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1</v>
      </c>
      <c r="Q2" s="2">
        <v>0</v>
      </c>
      <c r="R2" s="2">
        <v>0</v>
      </c>
      <c r="S2" s="2">
        <v>0</v>
      </c>
      <c r="T2" s="2">
        <v>0</v>
      </c>
    </row>
    <row r="3" spans="1:20">
      <c r="A3" s="2">
        <v>38</v>
      </c>
      <c r="B3" s="2">
        <v>39</v>
      </c>
      <c r="C3" s="2">
        <v>1</v>
      </c>
      <c r="D3" s="2">
        <v>1</v>
      </c>
      <c r="E3" s="2">
        <v>10</v>
      </c>
      <c r="F3" s="2">
        <v>0.8</v>
      </c>
      <c r="G3" s="2">
        <v>0.5</v>
      </c>
      <c r="H3" s="2">
        <v>0</v>
      </c>
      <c r="I3" s="2">
        <v>0</v>
      </c>
      <c r="J3" s="2">
        <v>100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1</v>
      </c>
      <c r="Q3" s="2">
        <v>0</v>
      </c>
      <c r="R3" s="2">
        <v>0</v>
      </c>
      <c r="S3" s="2">
        <v>0</v>
      </c>
      <c r="T3" s="2">
        <v>0</v>
      </c>
    </row>
    <row r="4" spans="1:20">
      <c r="A4" s="2">
        <v>38</v>
      </c>
      <c r="B4" s="2">
        <v>39</v>
      </c>
      <c r="C4" s="2">
        <v>1</v>
      </c>
      <c r="D4" s="2">
        <v>1</v>
      </c>
      <c r="E4" s="2">
        <v>10</v>
      </c>
      <c r="F4" s="2">
        <v>0.8</v>
      </c>
      <c r="G4" s="2">
        <v>0.5</v>
      </c>
      <c r="H4" s="2">
        <v>0</v>
      </c>
      <c r="I4" s="2">
        <v>0</v>
      </c>
      <c r="J4" s="2">
        <v>100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1</v>
      </c>
      <c r="Q4" s="2">
        <v>0</v>
      </c>
      <c r="R4" s="2">
        <v>0</v>
      </c>
      <c r="S4" s="2">
        <v>0</v>
      </c>
      <c r="T4" s="2">
        <v>0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2257A-959A-884A-A9B0-8ABE33740908}">
  <dimension ref="A1:J1"/>
  <sheetViews>
    <sheetView zoomScaleNormal="100" workbookViewId="0">
      <selection activeCell="C5" sqref="C5:C6"/>
    </sheetView>
  </sheetViews>
  <sheetFormatPr baseColWidth="10" defaultColWidth="8.7109375" defaultRowHeight="18"/>
  <cols>
    <col min="1" max="1" width="12" style="1" bestFit="1" customWidth="1"/>
    <col min="2" max="2" width="12.5703125" style="1" customWidth="1"/>
    <col min="3" max="3" width="18.28515625" style="1" customWidth="1"/>
    <col min="4" max="4" width="20.7109375" style="1" customWidth="1"/>
    <col min="5" max="5" width="19.7109375" style="1" customWidth="1"/>
    <col min="6" max="7" width="25.28515625" style="1" customWidth="1"/>
    <col min="8" max="8" width="17" style="1" bestFit="1" customWidth="1"/>
    <col min="9" max="9" width="12" style="1" bestFit="1" customWidth="1"/>
    <col min="10" max="10" width="32.5703125" style="1" customWidth="1"/>
    <col min="11" max="16384" width="8.7109375" style="1"/>
  </cols>
  <sheetData>
    <row r="1" spans="1:10" ht="38">
      <c r="A1" s="3" t="s">
        <v>35</v>
      </c>
      <c r="B1" s="3" t="s">
        <v>34</v>
      </c>
      <c r="C1" s="3" t="s">
        <v>16</v>
      </c>
      <c r="D1" s="3" t="s">
        <v>17</v>
      </c>
      <c r="E1" s="3" t="s">
        <v>18</v>
      </c>
      <c r="F1" s="4" t="s">
        <v>33</v>
      </c>
      <c r="G1" s="4" t="s">
        <v>32</v>
      </c>
      <c r="H1" s="3" t="s">
        <v>6</v>
      </c>
      <c r="I1" s="3" t="s">
        <v>21</v>
      </c>
      <c r="J1" s="12" t="s">
        <v>45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36866-2CC5-D94A-A4EC-AC30BE6C6183}">
  <dimension ref="A1:G11"/>
  <sheetViews>
    <sheetView zoomScaleNormal="100" workbookViewId="0">
      <selection activeCell="G7" sqref="G7"/>
    </sheetView>
  </sheetViews>
  <sheetFormatPr baseColWidth="10" defaultColWidth="10.7109375" defaultRowHeight="18"/>
  <cols>
    <col min="1" max="1" width="10.7109375" style="1"/>
    <col min="2" max="2" width="13" style="1" bestFit="1" customWidth="1"/>
    <col min="3" max="3" width="10.7109375" style="1"/>
    <col min="4" max="4" width="12.140625" style="1" bestFit="1" customWidth="1"/>
    <col min="5" max="5" width="11.85546875" style="1" bestFit="1" customWidth="1"/>
    <col min="6" max="6" width="25.140625" style="1" bestFit="1" customWidth="1"/>
    <col min="7" max="7" width="20" style="1" bestFit="1" customWidth="1"/>
    <col min="8" max="16384" width="10.7109375" style="1"/>
  </cols>
  <sheetData>
    <row r="1" spans="1:7" ht="38">
      <c r="A1" s="3" t="s">
        <v>19</v>
      </c>
      <c r="B1" s="3" t="s">
        <v>20</v>
      </c>
      <c r="C1" s="3" t="s">
        <v>31</v>
      </c>
      <c r="D1" s="4" t="s">
        <v>62</v>
      </c>
      <c r="E1" s="4" t="s">
        <v>63</v>
      </c>
      <c r="F1" s="14" t="s">
        <v>67</v>
      </c>
      <c r="G1" s="3" t="s">
        <v>79</v>
      </c>
    </row>
    <row r="2" spans="1:7">
      <c r="A2" s="2">
        <v>1</v>
      </c>
      <c r="B2" s="2">
        <v>50</v>
      </c>
      <c r="C2" s="9">
        <v>1</v>
      </c>
      <c r="D2" s="9">
        <v>0.98</v>
      </c>
      <c r="E2" s="9">
        <v>1.02</v>
      </c>
      <c r="F2" s="2">
        <v>0</v>
      </c>
      <c r="G2" s="7">
        <v>0</v>
      </c>
    </row>
    <row r="11" spans="1:7">
      <c r="F11" s="2"/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Mode</vt:lpstr>
      <vt:lpstr>AC Bus Data</vt:lpstr>
      <vt:lpstr>AC Line Data</vt:lpstr>
      <vt:lpstr>AC Gen Data</vt:lpstr>
      <vt:lpstr>AC 3w Transformer Data</vt:lpstr>
      <vt:lpstr>AC P Consume Data</vt:lpstr>
      <vt:lpstr>AC Q Consume Data</vt:lpstr>
      <vt:lpstr>DC Bus Data</vt:lpstr>
      <vt:lpstr>DC Line Data</vt:lpstr>
      <vt:lpstr>DC Gen Data</vt:lpstr>
      <vt:lpstr>DC P Consume Data</vt:lpstr>
      <vt:lpstr>ACDC IC Data</vt:lpstr>
      <vt:lpstr>MVDC LVDC Converter Data</vt:lpstr>
      <vt:lpstr>Sbase,frequency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장하민</dc:creator>
  <cp:lastModifiedBy>Chang, Hamin</cp:lastModifiedBy>
  <dcterms:created xsi:type="dcterms:W3CDTF">2024-09-19T13:51:03Z</dcterms:created>
  <dcterms:modified xsi:type="dcterms:W3CDTF">2026-05-19T16:33:24Z</dcterms:modified>
</cp:coreProperties>
</file>